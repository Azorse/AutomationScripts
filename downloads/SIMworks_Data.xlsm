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mc:AlternateContent xmlns:mc="http://schemas.openxmlformats.org/markup-compatibility/2006">
    <mc:Choice Requires="x15">
      <x15ac:absPath xmlns:x15ac="http://schemas.microsoft.com/office/spreadsheetml/2010/11/ac" url="/Users/danschissler/AutomationScripts/downloads/"/>
    </mc:Choice>
  </mc:AlternateContent>
  <xr:revisionPtr revIDLastSave="0" documentId="8_{94183022-297B-1A4D-8DE8-4D7189D71E13}" xr6:coauthVersionLast="47" xr6:coauthVersionMax="47" xr10:uidLastSave="{00000000-0000-0000-0000-000000000000}"/>
  <bookViews>
    <workbookView xWindow="0" yWindow="880" windowWidth="36000" windowHeight="21460" tabRatio="810" firstSheet="3" activeTab="5" xr2:uid="{00000000-000D-0000-FFFF-FFFF00000000}"/>
  </bookViews>
  <sheets>
    <sheet name="Dashboard" sheetId="1" r:id="rId1"/>
    <sheet name="Techniques" sheetId="2" r:id="rId2"/>
    <sheet name="By Week" sheetId="3" r:id="rId3"/>
    <sheet name="By Month" sheetId="4" r:id="rId4"/>
    <sheet name="FeedbackWeek" sheetId="5" r:id="rId5"/>
    <sheet name="RawData" sheetId="6" r:id="rId6"/>
  </sheets>
  <definedNames>
    <definedName name="_xlnm._FilterDatabase" localSheetId="5" hidden="1">RawData!$A$1:$R$1033</definedName>
    <definedName name="ExternalData_1" localSheetId="5">RawData!#REF!</definedName>
    <definedName name="ExternalData_2" localSheetId="5">RawData!#REF!</definedName>
    <definedName name="Slicer_observerName">#N/A</definedName>
    <definedName name="Slicer_Week">#N/A</definedName>
  </definedNames>
  <calcPr calcId="191029"/>
  <pivotCaches>
    <pivotCache cacheId="3"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033" i="6" l="1"/>
  <c r="O1033" i="6"/>
  <c r="Q1033" i="6" s="1"/>
  <c r="N1033" i="6"/>
  <c r="R1033" i="6" s="1"/>
  <c r="P1032" i="6"/>
  <c r="O1032" i="6"/>
  <c r="Q1032" i="6" s="1"/>
  <c r="N1032" i="6"/>
  <c r="R1032" i="6" s="1"/>
  <c r="Q1031" i="6"/>
  <c r="P1031" i="6"/>
  <c r="O1031" i="6"/>
  <c r="N1031" i="6"/>
  <c r="R1031" i="6" s="1"/>
  <c r="P1030" i="6"/>
  <c r="O1030" i="6"/>
  <c r="Q1030" i="6" s="1"/>
  <c r="N1030" i="6"/>
  <c r="R1030" i="6" s="1"/>
  <c r="Q1029" i="6"/>
  <c r="P1029" i="6"/>
  <c r="O1029" i="6"/>
  <c r="N1029" i="6"/>
  <c r="R1029" i="6" s="1"/>
  <c r="Q1028" i="6"/>
  <c r="P1028" i="6"/>
  <c r="O1028" i="6"/>
  <c r="N1028" i="6"/>
  <c r="R1028" i="6" s="1"/>
  <c r="P1027" i="6"/>
  <c r="O1027" i="6"/>
  <c r="Q1027" i="6" s="1"/>
  <c r="N1027" i="6"/>
  <c r="R1027" i="6" s="1"/>
  <c r="P1026" i="6"/>
  <c r="O1026" i="6"/>
  <c r="Q1026" i="6" s="1"/>
  <c r="N1026" i="6"/>
  <c r="R1026" i="6" s="1"/>
  <c r="P1025" i="6"/>
  <c r="O1025" i="6"/>
  <c r="Q1025" i="6" s="1"/>
  <c r="N1025" i="6"/>
  <c r="R1025" i="6" s="1"/>
  <c r="P1024" i="6"/>
  <c r="O1024" i="6"/>
  <c r="Q1024" i="6" s="1"/>
  <c r="N1024" i="6"/>
  <c r="R1024" i="6" s="1"/>
  <c r="P1023" i="6"/>
  <c r="O1023" i="6"/>
  <c r="Q1023" i="6" s="1"/>
  <c r="N1023" i="6"/>
  <c r="R1023" i="6" s="1"/>
  <c r="R1022" i="6"/>
  <c r="Q1022" i="6"/>
  <c r="P1022" i="6"/>
  <c r="O1022" i="6"/>
  <c r="N1022" i="6"/>
  <c r="P1021" i="6"/>
  <c r="O1021" i="6"/>
  <c r="Q1021" i="6" s="1"/>
  <c r="N1021" i="6"/>
  <c r="R1021" i="6" s="1"/>
  <c r="R1020" i="6"/>
  <c r="Q1020" i="6"/>
  <c r="P1020" i="6"/>
  <c r="O1020" i="6"/>
  <c r="N1020" i="6"/>
  <c r="Q1019" i="6"/>
  <c r="P1019" i="6"/>
  <c r="O1019" i="6"/>
  <c r="N1019" i="6"/>
  <c r="R1019" i="6" s="1"/>
  <c r="R1018" i="6"/>
  <c r="Q1018" i="6"/>
  <c r="P1018" i="6"/>
  <c r="O1018" i="6"/>
  <c r="N1018" i="6"/>
  <c r="P1017" i="6"/>
  <c r="O1017" i="6"/>
  <c r="Q1017" i="6" s="1"/>
  <c r="N1017" i="6"/>
  <c r="R1017" i="6" s="1"/>
  <c r="R1016" i="6"/>
  <c r="P1016" i="6"/>
  <c r="O1016" i="6"/>
  <c r="Q1016" i="6" s="1"/>
  <c r="N1016" i="6"/>
  <c r="P1015" i="6"/>
  <c r="O1015" i="6"/>
  <c r="Q1015" i="6" s="1"/>
  <c r="N1015" i="6"/>
  <c r="R1015" i="6" s="1"/>
  <c r="P1014" i="6"/>
  <c r="O1014" i="6"/>
  <c r="Q1014" i="6" s="1"/>
  <c r="N1014" i="6"/>
  <c r="R1014" i="6" s="1"/>
  <c r="Q1013" i="6"/>
  <c r="P1013" i="6"/>
  <c r="O1013" i="6"/>
  <c r="N1013" i="6"/>
  <c r="R1013" i="6" s="1"/>
  <c r="P1012" i="6"/>
  <c r="O1012" i="6"/>
  <c r="Q1012" i="6" s="1"/>
  <c r="N1012" i="6"/>
  <c r="R1012" i="6" s="1"/>
  <c r="Q1011" i="6"/>
  <c r="P1011" i="6"/>
  <c r="O1011" i="6"/>
  <c r="N1011" i="6"/>
  <c r="R1011" i="6" s="1"/>
  <c r="P1010" i="6"/>
  <c r="O1010" i="6"/>
  <c r="Q1010" i="6" s="1"/>
  <c r="N1010" i="6"/>
  <c r="R1010" i="6" s="1"/>
  <c r="Q1009" i="6"/>
  <c r="P1009" i="6"/>
  <c r="O1009" i="6"/>
  <c r="N1009" i="6"/>
  <c r="R1009" i="6" s="1"/>
  <c r="P1008" i="6"/>
  <c r="O1008" i="6"/>
  <c r="Q1008" i="6" s="1"/>
  <c r="N1008" i="6"/>
  <c r="R1008" i="6" s="1"/>
  <c r="P1007" i="6"/>
  <c r="O1007" i="6"/>
  <c r="Q1007" i="6" s="1"/>
  <c r="N1007" i="6"/>
  <c r="R1007" i="6" s="1"/>
  <c r="P1006" i="6"/>
  <c r="O1006" i="6"/>
  <c r="Q1006" i="6" s="1"/>
  <c r="N1006" i="6"/>
  <c r="R1006" i="6" s="1"/>
  <c r="P1005" i="6"/>
  <c r="O1005" i="6"/>
  <c r="Q1005" i="6" s="1"/>
  <c r="N1005" i="6"/>
  <c r="R1005" i="6" s="1"/>
  <c r="P1004" i="6"/>
  <c r="O1004" i="6"/>
  <c r="Q1004" i="6" s="1"/>
  <c r="N1004" i="6"/>
  <c r="R1004" i="6" s="1"/>
  <c r="P1003" i="6"/>
  <c r="O1003" i="6"/>
  <c r="Q1003" i="6" s="1"/>
  <c r="N1003" i="6"/>
  <c r="R1003" i="6" s="1"/>
  <c r="R1002" i="6"/>
  <c r="Q1002" i="6"/>
  <c r="P1002" i="6"/>
  <c r="O1002" i="6"/>
  <c r="N1002" i="6"/>
  <c r="P1001" i="6"/>
  <c r="O1001" i="6"/>
  <c r="Q1001" i="6" s="1"/>
  <c r="N1001" i="6"/>
  <c r="R1001" i="6" s="1"/>
  <c r="R1000" i="6"/>
  <c r="Q1000" i="6"/>
  <c r="P1000" i="6"/>
  <c r="O1000" i="6"/>
  <c r="N1000" i="6"/>
  <c r="P999" i="6"/>
  <c r="O999" i="6"/>
  <c r="Q999" i="6" s="1"/>
  <c r="N999" i="6"/>
  <c r="R999" i="6" s="1"/>
  <c r="R998" i="6"/>
  <c r="Q998" i="6"/>
  <c r="P998" i="6"/>
  <c r="O998" i="6"/>
  <c r="N998" i="6"/>
  <c r="P997" i="6"/>
  <c r="O997" i="6"/>
  <c r="Q997" i="6" s="1"/>
  <c r="N997" i="6"/>
  <c r="R997" i="6" s="1"/>
  <c r="R996" i="6"/>
  <c r="P996" i="6"/>
  <c r="O996" i="6"/>
  <c r="Q996" i="6" s="1"/>
  <c r="N996" i="6"/>
  <c r="P995" i="6"/>
  <c r="O995" i="6"/>
  <c r="Q995" i="6" s="1"/>
  <c r="N995" i="6"/>
  <c r="R995" i="6" s="1"/>
  <c r="R994" i="6"/>
  <c r="P994" i="6"/>
  <c r="O994" i="6"/>
  <c r="Q994" i="6" s="1"/>
  <c r="N994" i="6"/>
  <c r="Q993" i="6"/>
  <c r="P993" i="6"/>
  <c r="O993" i="6"/>
  <c r="N993" i="6"/>
  <c r="R993" i="6" s="1"/>
  <c r="R992" i="6"/>
  <c r="Q992" i="6"/>
  <c r="P992" i="6"/>
  <c r="O992" i="6"/>
  <c r="N992" i="6"/>
  <c r="Q991" i="6"/>
  <c r="P991" i="6"/>
  <c r="O991" i="6"/>
  <c r="N991" i="6"/>
  <c r="R991" i="6" s="1"/>
  <c r="P990" i="6"/>
  <c r="O990" i="6"/>
  <c r="Q990" i="6" s="1"/>
  <c r="N990" i="6"/>
  <c r="R990" i="6" s="1"/>
  <c r="Q989" i="6"/>
  <c r="P989" i="6"/>
  <c r="O989" i="6"/>
  <c r="N989" i="6"/>
  <c r="R989" i="6" s="1"/>
  <c r="P988" i="6"/>
  <c r="O988" i="6"/>
  <c r="Q988" i="6" s="1"/>
  <c r="N988" i="6"/>
  <c r="R988" i="6" s="1"/>
  <c r="Q987" i="6"/>
  <c r="P987" i="6"/>
  <c r="O987" i="6"/>
  <c r="N987" i="6"/>
  <c r="R987" i="6" s="1"/>
  <c r="P986" i="6"/>
  <c r="O986" i="6"/>
  <c r="Q986" i="6" s="1"/>
  <c r="N986" i="6"/>
  <c r="R986" i="6" s="1"/>
  <c r="Q985" i="6"/>
  <c r="P985" i="6"/>
  <c r="O985" i="6"/>
  <c r="N985" i="6"/>
  <c r="R985" i="6" s="1"/>
  <c r="P984" i="6"/>
  <c r="O984" i="6"/>
  <c r="Q984" i="6" s="1"/>
  <c r="N984" i="6"/>
  <c r="R984" i="6" s="1"/>
  <c r="P983" i="6"/>
  <c r="O983" i="6"/>
  <c r="Q983" i="6" s="1"/>
  <c r="N983" i="6"/>
  <c r="R983" i="6" s="1"/>
  <c r="R982" i="6"/>
  <c r="Q982" i="6"/>
  <c r="P982" i="6"/>
  <c r="O982" i="6"/>
  <c r="N982" i="6"/>
  <c r="Q981" i="6"/>
  <c r="P981" i="6"/>
  <c r="O981" i="6"/>
  <c r="N981" i="6"/>
  <c r="R981" i="6" s="1"/>
  <c r="R980" i="6"/>
  <c r="Q980" i="6"/>
  <c r="P980" i="6"/>
  <c r="O980" i="6"/>
  <c r="N980" i="6"/>
  <c r="P979" i="6"/>
  <c r="O979" i="6"/>
  <c r="Q979" i="6" s="1"/>
  <c r="N979" i="6"/>
  <c r="R979" i="6" s="1"/>
  <c r="R978" i="6"/>
  <c r="Q978" i="6"/>
  <c r="P978" i="6"/>
  <c r="O978" i="6"/>
  <c r="N978" i="6"/>
  <c r="P977" i="6"/>
  <c r="O977" i="6"/>
  <c r="Q977" i="6" s="1"/>
  <c r="N977" i="6"/>
  <c r="R977" i="6" s="1"/>
  <c r="R976" i="6"/>
  <c r="P976" i="6"/>
  <c r="O976" i="6"/>
  <c r="Q976" i="6" s="1"/>
  <c r="N976" i="6"/>
  <c r="P975" i="6"/>
  <c r="O975" i="6"/>
  <c r="Q975" i="6" s="1"/>
  <c r="N975" i="6"/>
  <c r="R975" i="6" s="1"/>
  <c r="R974" i="6"/>
  <c r="P974" i="6"/>
  <c r="O974" i="6"/>
  <c r="Q974" i="6" s="1"/>
  <c r="N974" i="6"/>
  <c r="Q973" i="6"/>
  <c r="P973" i="6"/>
  <c r="O973" i="6"/>
  <c r="N973" i="6"/>
  <c r="R973" i="6" s="1"/>
  <c r="R972" i="6"/>
  <c r="Q972" i="6"/>
  <c r="P972" i="6"/>
  <c r="O972" i="6"/>
  <c r="N972" i="6"/>
  <c r="Q971" i="6"/>
  <c r="P971" i="6"/>
  <c r="O971" i="6"/>
  <c r="N971" i="6"/>
  <c r="R971" i="6" s="1"/>
  <c r="P970" i="6"/>
  <c r="O970" i="6"/>
  <c r="Q970" i="6" s="1"/>
  <c r="N970" i="6"/>
  <c r="R970" i="6" s="1"/>
  <c r="Q969" i="6"/>
  <c r="P969" i="6"/>
  <c r="O969" i="6"/>
  <c r="N969" i="6"/>
  <c r="R969" i="6" s="1"/>
  <c r="P968" i="6"/>
  <c r="O968" i="6"/>
  <c r="Q968" i="6" s="1"/>
  <c r="N968" i="6"/>
  <c r="R968" i="6" s="1"/>
  <c r="Q967" i="6"/>
  <c r="P967" i="6"/>
  <c r="O967" i="6"/>
  <c r="N967" i="6"/>
  <c r="R967" i="6" s="1"/>
  <c r="P966" i="6"/>
  <c r="O966" i="6"/>
  <c r="Q966" i="6" s="1"/>
  <c r="N966" i="6"/>
  <c r="R966" i="6" s="1"/>
  <c r="Q965" i="6"/>
  <c r="P965" i="6"/>
  <c r="O965" i="6"/>
  <c r="N965" i="6"/>
  <c r="R965" i="6" s="1"/>
  <c r="P964" i="6"/>
  <c r="O964" i="6"/>
  <c r="Q964" i="6" s="1"/>
  <c r="N964" i="6"/>
  <c r="R964" i="6" s="1"/>
  <c r="P963" i="6"/>
  <c r="O963" i="6"/>
  <c r="Q963" i="6" s="1"/>
  <c r="N963" i="6"/>
  <c r="R963" i="6" s="1"/>
  <c r="R962" i="6"/>
  <c r="Q962" i="6"/>
  <c r="P962" i="6"/>
  <c r="O962" i="6"/>
  <c r="N962" i="6"/>
  <c r="Q961" i="6"/>
  <c r="P961" i="6"/>
  <c r="O961" i="6"/>
  <c r="N961" i="6"/>
  <c r="R961" i="6" s="1"/>
  <c r="R960" i="6"/>
  <c r="Q960" i="6"/>
  <c r="P960" i="6"/>
  <c r="O960" i="6"/>
  <c r="N960" i="6"/>
  <c r="P959" i="6"/>
  <c r="O959" i="6"/>
  <c r="Q959" i="6" s="1"/>
  <c r="N959" i="6"/>
  <c r="R959" i="6" s="1"/>
  <c r="R958" i="6"/>
  <c r="Q958" i="6"/>
  <c r="P958" i="6"/>
  <c r="O958" i="6"/>
  <c r="N958" i="6"/>
  <c r="P957" i="6"/>
  <c r="O957" i="6"/>
  <c r="Q957" i="6" s="1"/>
  <c r="N957" i="6"/>
  <c r="R957" i="6" s="1"/>
  <c r="P956" i="6"/>
  <c r="O956" i="6"/>
  <c r="Q956" i="6" s="1"/>
  <c r="N956" i="6"/>
  <c r="R956" i="6" s="1"/>
  <c r="P955" i="6"/>
  <c r="O955" i="6"/>
  <c r="Q955" i="6" s="1"/>
  <c r="N955" i="6"/>
  <c r="R955" i="6" s="1"/>
  <c r="Q954" i="6"/>
  <c r="P954" i="6"/>
  <c r="O954" i="6"/>
  <c r="N954" i="6"/>
  <c r="R954" i="6" s="1"/>
  <c r="Q953" i="6"/>
  <c r="P953" i="6"/>
  <c r="O953" i="6"/>
  <c r="N953" i="6"/>
  <c r="R953" i="6" s="1"/>
  <c r="R952" i="6"/>
  <c r="P952" i="6"/>
  <c r="O952" i="6"/>
  <c r="Q952" i="6" s="1"/>
  <c r="N952" i="6"/>
  <c r="Q951" i="6"/>
  <c r="P951" i="6"/>
  <c r="O951" i="6"/>
  <c r="N951" i="6"/>
  <c r="R951" i="6" s="1"/>
  <c r="R950" i="6"/>
  <c r="Q950" i="6"/>
  <c r="P950" i="6"/>
  <c r="O950" i="6"/>
  <c r="N950" i="6"/>
  <c r="P949" i="6"/>
  <c r="O949" i="6"/>
  <c r="Q949" i="6" s="1"/>
  <c r="N949" i="6"/>
  <c r="R949" i="6" s="1"/>
  <c r="P948" i="6"/>
  <c r="O948" i="6"/>
  <c r="Q948" i="6" s="1"/>
  <c r="N948" i="6"/>
  <c r="R948" i="6" s="1"/>
  <c r="Q947" i="6"/>
  <c r="P947" i="6"/>
  <c r="O947" i="6"/>
  <c r="N947" i="6"/>
  <c r="R947" i="6" s="1"/>
  <c r="P946" i="6"/>
  <c r="O946" i="6"/>
  <c r="Q946" i="6" s="1"/>
  <c r="N946" i="6"/>
  <c r="R946" i="6" s="1"/>
  <c r="Q945" i="6"/>
  <c r="P945" i="6"/>
  <c r="O945" i="6"/>
  <c r="N945" i="6"/>
  <c r="R945" i="6" s="1"/>
  <c r="P944" i="6"/>
  <c r="O944" i="6"/>
  <c r="Q944" i="6" s="1"/>
  <c r="N944" i="6"/>
  <c r="R944" i="6" s="1"/>
  <c r="P943" i="6"/>
  <c r="O943" i="6"/>
  <c r="Q943" i="6" s="1"/>
  <c r="N943" i="6"/>
  <c r="R943" i="6" s="1"/>
  <c r="Q942" i="6"/>
  <c r="P942" i="6"/>
  <c r="O942" i="6"/>
  <c r="N942" i="6"/>
  <c r="R942" i="6" s="1"/>
  <c r="Q941" i="6"/>
  <c r="P941" i="6"/>
  <c r="O941" i="6"/>
  <c r="N941" i="6"/>
  <c r="R941" i="6" s="1"/>
  <c r="R940" i="6"/>
  <c r="Q940" i="6"/>
  <c r="P940" i="6"/>
  <c r="O940" i="6"/>
  <c r="N940" i="6"/>
  <c r="Q939" i="6"/>
  <c r="P939" i="6"/>
  <c r="O939" i="6"/>
  <c r="N939" i="6"/>
  <c r="R939" i="6" s="1"/>
  <c r="R938" i="6"/>
  <c r="Q938" i="6"/>
  <c r="P938" i="6"/>
  <c r="O938" i="6"/>
  <c r="N938" i="6"/>
  <c r="P937" i="6"/>
  <c r="O937" i="6"/>
  <c r="Q937" i="6" s="1"/>
  <c r="N937" i="6"/>
  <c r="R937" i="6" s="1"/>
  <c r="R936" i="6"/>
  <c r="P936" i="6"/>
  <c r="O936" i="6"/>
  <c r="Q936" i="6" s="1"/>
  <c r="N936" i="6"/>
  <c r="P935" i="6"/>
  <c r="O935" i="6"/>
  <c r="Q935" i="6" s="1"/>
  <c r="N935" i="6"/>
  <c r="R935" i="6" s="1"/>
  <c r="Q934" i="6"/>
  <c r="P934" i="6"/>
  <c r="O934" i="6"/>
  <c r="N934" i="6"/>
  <c r="R934" i="6" s="1"/>
  <c r="Q933" i="6"/>
  <c r="P933" i="6"/>
  <c r="O933" i="6"/>
  <c r="N933" i="6"/>
  <c r="R933" i="6" s="1"/>
  <c r="Q932" i="6"/>
  <c r="P932" i="6"/>
  <c r="O932" i="6"/>
  <c r="N932" i="6"/>
  <c r="R932" i="6" s="1"/>
  <c r="Q931" i="6"/>
  <c r="P931" i="6"/>
  <c r="O931" i="6"/>
  <c r="N931" i="6"/>
  <c r="R931" i="6" s="1"/>
  <c r="P930" i="6"/>
  <c r="O930" i="6"/>
  <c r="Q930" i="6" s="1"/>
  <c r="N930" i="6"/>
  <c r="R930" i="6" s="1"/>
  <c r="P929" i="6"/>
  <c r="O929" i="6"/>
  <c r="Q929" i="6" s="1"/>
  <c r="N929" i="6"/>
  <c r="R929" i="6" s="1"/>
  <c r="Q928" i="6"/>
  <c r="P928" i="6"/>
  <c r="O928" i="6"/>
  <c r="N928" i="6"/>
  <c r="R928" i="6" s="1"/>
  <c r="Q927" i="6"/>
  <c r="P927" i="6"/>
  <c r="O927" i="6"/>
  <c r="N927" i="6"/>
  <c r="R927" i="6" s="1"/>
  <c r="P926" i="6"/>
  <c r="O926" i="6"/>
  <c r="Q926" i="6" s="1"/>
  <c r="N926" i="6"/>
  <c r="R926" i="6" s="1"/>
  <c r="P925" i="6"/>
  <c r="O925" i="6"/>
  <c r="Q925" i="6" s="1"/>
  <c r="N925" i="6"/>
  <c r="R925" i="6" s="1"/>
  <c r="P924" i="6"/>
  <c r="O924" i="6"/>
  <c r="Q924" i="6" s="1"/>
  <c r="N924" i="6"/>
  <c r="R924" i="6" s="1"/>
  <c r="P923" i="6"/>
  <c r="O923" i="6"/>
  <c r="Q923" i="6" s="1"/>
  <c r="N923" i="6"/>
  <c r="R923" i="6" s="1"/>
  <c r="Q922" i="6"/>
  <c r="P922" i="6"/>
  <c r="O922" i="6"/>
  <c r="N922" i="6"/>
  <c r="R922" i="6" s="1"/>
  <c r="Q921" i="6"/>
  <c r="P921" i="6"/>
  <c r="O921" i="6"/>
  <c r="N921" i="6"/>
  <c r="R921" i="6" s="1"/>
  <c r="R920" i="6"/>
  <c r="Q920" i="6"/>
  <c r="P920" i="6"/>
  <c r="O920" i="6"/>
  <c r="N920" i="6"/>
  <c r="Q919" i="6"/>
  <c r="P919" i="6"/>
  <c r="O919" i="6"/>
  <c r="N919" i="6"/>
  <c r="R919" i="6" s="1"/>
  <c r="R918" i="6"/>
  <c r="P918" i="6"/>
  <c r="O918" i="6"/>
  <c r="Q918" i="6" s="1"/>
  <c r="N918" i="6"/>
  <c r="P917" i="6"/>
  <c r="O917" i="6"/>
  <c r="Q917" i="6" s="1"/>
  <c r="N917" i="6"/>
  <c r="R917" i="6" s="1"/>
  <c r="Q916" i="6"/>
  <c r="P916" i="6"/>
  <c r="O916" i="6"/>
  <c r="N916" i="6"/>
  <c r="R916" i="6" s="1"/>
  <c r="P915" i="6"/>
  <c r="O915" i="6"/>
  <c r="Q915" i="6" s="1"/>
  <c r="N915" i="6"/>
  <c r="R915" i="6" s="1"/>
  <c r="R914" i="6"/>
  <c r="Q914" i="6"/>
  <c r="P914" i="6"/>
  <c r="O914" i="6"/>
  <c r="N914" i="6"/>
  <c r="Q913" i="6"/>
  <c r="P913" i="6"/>
  <c r="O913" i="6"/>
  <c r="N913" i="6"/>
  <c r="R913" i="6" s="1"/>
  <c r="Q912" i="6"/>
  <c r="P912" i="6"/>
  <c r="O912" i="6"/>
  <c r="N912" i="6"/>
  <c r="R912" i="6" s="1"/>
  <c r="Q911" i="6"/>
  <c r="P911" i="6"/>
  <c r="O911" i="6"/>
  <c r="N911" i="6"/>
  <c r="R911" i="6" s="1"/>
  <c r="R910" i="6"/>
  <c r="P910" i="6"/>
  <c r="O910" i="6"/>
  <c r="Q910" i="6" s="1"/>
  <c r="N910" i="6"/>
  <c r="Q909" i="6"/>
  <c r="P909" i="6"/>
  <c r="O909" i="6"/>
  <c r="N909" i="6"/>
  <c r="R909" i="6" s="1"/>
  <c r="Q908" i="6"/>
  <c r="P908" i="6"/>
  <c r="O908" i="6"/>
  <c r="N908" i="6"/>
  <c r="R908" i="6" s="1"/>
  <c r="Q907" i="6"/>
  <c r="P907" i="6"/>
  <c r="O907" i="6"/>
  <c r="N907" i="6"/>
  <c r="R907" i="6" s="1"/>
  <c r="P906" i="6"/>
  <c r="O906" i="6"/>
  <c r="Q906" i="6" s="1"/>
  <c r="N906" i="6"/>
  <c r="R906" i="6" s="1"/>
  <c r="P905" i="6"/>
  <c r="O905" i="6"/>
  <c r="Q905" i="6" s="1"/>
  <c r="N905" i="6"/>
  <c r="R905" i="6" s="1"/>
  <c r="P904" i="6"/>
  <c r="O904" i="6"/>
  <c r="Q904" i="6" s="1"/>
  <c r="N904" i="6"/>
  <c r="R904" i="6" s="1"/>
  <c r="Q903" i="6"/>
  <c r="P903" i="6"/>
  <c r="O903" i="6"/>
  <c r="N903" i="6"/>
  <c r="R903" i="6" s="1"/>
  <c r="R902" i="6"/>
  <c r="Q902" i="6"/>
  <c r="P902" i="6"/>
  <c r="O902" i="6"/>
  <c r="N902" i="6"/>
  <c r="P901" i="6"/>
  <c r="O901" i="6"/>
  <c r="Q901" i="6" s="1"/>
  <c r="N901" i="6"/>
  <c r="R901" i="6" s="1"/>
  <c r="R900" i="6"/>
  <c r="Q900" i="6"/>
  <c r="P900" i="6"/>
  <c r="O900" i="6"/>
  <c r="N900" i="6"/>
  <c r="P899" i="6"/>
  <c r="O899" i="6"/>
  <c r="Q899" i="6" s="1"/>
  <c r="N899" i="6"/>
  <c r="R899" i="6" s="1"/>
  <c r="R898" i="6"/>
  <c r="P898" i="6"/>
  <c r="O898" i="6"/>
  <c r="Q898" i="6" s="1"/>
  <c r="N898" i="6"/>
  <c r="P897" i="6"/>
  <c r="O897" i="6"/>
  <c r="Q897" i="6" s="1"/>
  <c r="N897" i="6"/>
  <c r="R897" i="6" s="1"/>
  <c r="Q896" i="6"/>
  <c r="P896" i="6"/>
  <c r="O896" i="6"/>
  <c r="N896" i="6"/>
  <c r="R896" i="6" s="1"/>
  <c r="P895" i="6"/>
  <c r="O895" i="6"/>
  <c r="Q895" i="6" s="1"/>
  <c r="N895" i="6"/>
  <c r="R895" i="6" s="1"/>
  <c r="P894" i="6"/>
  <c r="O894" i="6"/>
  <c r="Q894" i="6" s="1"/>
  <c r="N894" i="6"/>
  <c r="R894" i="6" s="1"/>
  <c r="Q893" i="6"/>
  <c r="P893" i="6"/>
  <c r="O893" i="6"/>
  <c r="N893" i="6"/>
  <c r="R893" i="6" s="1"/>
  <c r="P892" i="6"/>
  <c r="O892" i="6"/>
  <c r="Q892" i="6" s="1"/>
  <c r="N892" i="6"/>
  <c r="R892" i="6" s="1"/>
  <c r="Q891" i="6"/>
  <c r="P891" i="6"/>
  <c r="O891" i="6"/>
  <c r="N891" i="6"/>
  <c r="R891" i="6" s="1"/>
  <c r="Q890" i="6"/>
  <c r="P890" i="6"/>
  <c r="O890" i="6"/>
  <c r="N890" i="6"/>
  <c r="R890" i="6" s="1"/>
  <c r="Q889" i="6"/>
  <c r="P889" i="6"/>
  <c r="O889" i="6"/>
  <c r="N889" i="6"/>
  <c r="R889" i="6" s="1"/>
  <c r="Q888" i="6"/>
  <c r="P888" i="6"/>
  <c r="O888" i="6"/>
  <c r="N888" i="6"/>
  <c r="R888" i="6" s="1"/>
  <c r="P887" i="6"/>
  <c r="O887" i="6"/>
  <c r="Q887" i="6" s="1"/>
  <c r="N887" i="6"/>
  <c r="R887" i="6" s="1"/>
  <c r="P886" i="6"/>
  <c r="O886" i="6"/>
  <c r="Q886" i="6" s="1"/>
  <c r="N886" i="6"/>
  <c r="R886" i="6" s="1"/>
  <c r="P885" i="6"/>
  <c r="O885" i="6"/>
  <c r="Q885" i="6" s="1"/>
  <c r="N885" i="6"/>
  <c r="R885" i="6" s="1"/>
  <c r="R884" i="6"/>
  <c r="P884" i="6"/>
  <c r="O884" i="6"/>
  <c r="Q884" i="6" s="1"/>
  <c r="N884" i="6"/>
  <c r="Q883" i="6"/>
  <c r="P883" i="6"/>
  <c r="O883" i="6"/>
  <c r="N883" i="6"/>
  <c r="R883" i="6" s="1"/>
  <c r="Q882" i="6"/>
  <c r="P882" i="6"/>
  <c r="O882" i="6"/>
  <c r="N882" i="6"/>
  <c r="R882" i="6" s="1"/>
  <c r="P881" i="6"/>
  <c r="O881" i="6"/>
  <c r="Q881" i="6" s="1"/>
  <c r="N881" i="6"/>
  <c r="R881" i="6" s="1"/>
  <c r="R880" i="6"/>
  <c r="Q880" i="6"/>
  <c r="P880" i="6"/>
  <c r="O880" i="6"/>
  <c r="N880" i="6"/>
  <c r="P879" i="6"/>
  <c r="O879" i="6"/>
  <c r="Q879" i="6" s="1"/>
  <c r="N879" i="6"/>
  <c r="R879" i="6" s="1"/>
  <c r="R878" i="6"/>
  <c r="P878" i="6"/>
  <c r="O878" i="6"/>
  <c r="Q878" i="6" s="1"/>
  <c r="N878" i="6"/>
  <c r="P877" i="6"/>
  <c r="O877" i="6"/>
  <c r="Q877" i="6" s="1"/>
  <c r="N877" i="6"/>
  <c r="R877" i="6" s="1"/>
  <c r="R876" i="6"/>
  <c r="Q876" i="6"/>
  <c r="P876" i="6"/>
  <c r="O876" i="6"/>
  <c r="N876" i="6"/>
  <c r="P875" i="6"/>
  <c r="O875" i="6"/>
  <c r="Q875" i="6" s="1"/>
  <c r="N875" i="6"/>
  <c r="R875" i="6" s="1"/>
  <c r="R874" i="6"/>
  <c r="P874" i="6"/>
  <c r="O874" i="6"/>
  <c r="Q874" i="6" s="1"/>
  <c r="N874" i="6"/>
  <c r="P873" i="6"/>
  <c r="O873" i="6"/>
  <c r="Q873" i="6" s="1"/>
  <c r="N873" i="6"/>
  <c r="R873" i="6" s="1"/>
  <c r="P872" i="6"/>
  <c r="O872" i="6"/>
  <c r="Q872" i="6" s="1"/>
  <c r="N872" i="6"/>
  <c r="R872" i="6" s="1"/>
  <c r="Q871" i="6"/>
  <c r="P871" i="6"/>
  <c r="O871" i="6"/>
  <c r="N871" i="6"/>
  <c r="R871" i="6" s="1"/>
  <c r="Q870" i="6"/>
  <c r="P870" i="6"/>
  <c r="O870" i="6"/>
  <c r="N870" i="6"/>
  <c r="R870" i="6" s="1"/>
  <c r="Q869" i="6"/>
  <c r="P869" i="6"/>
  <c r="O869" i="6"/>
  <c r="N869" i="6"/>
  <c r="R869" i="6" s="1"/>
  <c r="R868" i="6"/>
  <c r="P868" i="6"/>
  <c r="O868" i="6"/>
  <c r="Q868" i="6" s="1"/>
  <c r="N868" i="6"/>
  <c r="Q867" i="6"/>
  <c r="P867" i="6"/>
  <c r="O867" i="6"/>
  <c r="N867" i="6"/>
  <c r="R867" i="6" s="1"/>
  <c r="P866" i="6"/>
  <c r="O866" i="6"/>
  <c r="Q866" i="6" s="1"/>
  <c r="N866" i="6"/>
  <c r="R866" i="6" s="1"/>
  <c r="P865" i="6"/>
  <c r="O865" i="6"/>
  <c r="Q865" i="6" s="1"/>
  <c r="N865" i="6"/>
  <c r="R865" i="6" s="1"/>
  <c r="P864" i="6"/>
  <c r="O864" i="6"/>
  <c r="Q864" i="6" s="1"/>
  <c r="N864" i="6"/>
  <c r="R864" i="6" s="1"/>
  <c r="Q863" i="6"/>
  <c r="P863" i="6"/>
  <c r="O863" i="6"/>
  <c r="N863" i="6"/>
  <c r="R863" i="6" s="1"/>
  <c r="R862" i="6"/>
  <c r="P862" i="6"/>
  <c r="O862" i="6"/>
  <c r="Q862" i="6" s="1"/>
  <c r="N862" i="6"/>
  <c r="R861" i="6"/>
  <c r="P861" i="6"/>
  <c r="O861" i="6"/>
  <c r="Q861" i="6" s="1"/>
  <c r="N861" i="6"/>
  <c r="R860" i="6"/>
  <c r="P860" i="6"/>
  <c r="O860" i="6"/>
  <c r="Q860" i="6" s="1"/>
  <c r="N860" i="6"/>
  <c r="P859" i="6"/>
  <c r="O859" i="6"/>
  <c r="Q859" i="6" s="1"/>
  <c r="N859" i="6"/>
  <c r="R859" i="6" s="1"/>
  <c r="R858" i="6"/>
  <c r="P858" i="6"/>
  <c r="O858" i="6"/>
  <c r="Q858" i="6" s="1"/>
  <c r="N858" i="6"/>
  <c r="P857" i="6"/>
  <c r="O857" i="6"/>
  <c r="Q857" i="6" s="1"/>
  <c r="N857" i="6"/>
  <c r="R857" i="6" s="1"/>
  <c r="P856" i="6"/>
  <c r="O856" i="6"/>
  <c r="Q856" i="6" s="1"/>
  <c r="N856" i="6"/>
  <c r="R856" i="6" s="1"/>
  <c r="P855" i="6"/>
  <c r="O855" i="6"/>
  <c r="Q855" i="6" s="1"/>
  <c r="N855" i="6"/>
  <c r="R855" i="6" s="1"/>
  <c r="P854" i="6"/>
  <c r="O854" i="6"/>
  <c r="Q854" i="6" s="1"/>
  <c r="N854" i="6"/>
  <c r="R854" i="6" s="1"/>
  <c r="R853" i="6"/>
  <c r="P853" i="6"/>
  <c r="O853" i="6"/>
  <c r="Q853" i="6" s="1"/>
  <c r="N853" i="6"/>
  <c r="R852" i="6"/>
  <c r="P852" i="6"/>
  <c r="O852" i="6"/>
  <c r="Q852" i="6" s="1"/>
  <c r="N852" i="6"/>
  <c r="R851" i="6"/>
  <c r="Q851" i="6"/>
  <c r="P851" i="6"/>
  <c r="O851" i="6"/>
  <c r="N851" i="6"/>
  <c r="P850" i="6"/>
  <c r="O850" i="6"/>
  <c r="Q850" i="6" s="1"/>
  <c r="N850" i="6"/>
  <c r="R850" i="6" s="1"/>
  <c r="R849" i="6"/>
  <c r="Q849" i="6"/>
  <c r="P849" i="6"/>
  <c r="O849" i="6"/>
  <c r="N849" i="6"/>
  <c r="P848" i="6"/>
  <c r="O848" i="6"/>
  <c r="Q848" i="6" s="1"/>
  <c r="N848" i="6"/>
  <c r="R848" i="6" s="1"/>
  <c r="R847" i="6"/>
  <c r="P847" i="6"/>
  <c r="O847" i="6"/>
  <c r="Q847" i="6" s="1"/>
  <c r="N847" i="6"/>
  <c r="P846" i="6"/>
  <c r="O846" i="6"/>
  <c r="Q846" i="6" s="1"/>
  <c r="N846" i="6"/>
  <c r="R846" i="6" s="1"/>
  <c r="P845" i="6"/>
  <c r="O845" i="6"/>
  <c r="Q845" i="6" s="1"/>
  <c r="N845" i="6"/>
  <c r="R845" i="6" s="1"/>
  <c r="P844" i="6"/>
  <c r="O844" i="6"/>
  <c r="Q844" i="6" s="1"/>
  <c r="N844" i="6"/>
  <c r="R844" i="6" s="1"/>
  <c r="Q843" i="6"/>
  <c r="P843" i="6"/>
  <c r="O843" i="6"/>
  <c r="N843" i="6"/>
  <c r="R843" i="6" s="1"/>
  <c r="R842" i="6"/>
  <c r="P842" i="6"/>
  <c r="O842" i="6"/>
  <c r="Q842" i="6" s="1"/>
  <c r="N842" i="6"/>
  <c r="P841" i="6"/>
  <c r="O841" i="6"/>
  <c r="Q841" i="6" s="1"/>
  <c r="N841" i="6"/>
  <c r="R841" i="6" s="1"/>
  <c r="R840" i="6"/>
  <c r="P840" i="6"/>
  <c r="O840" i="6"/>
  <c r="Q840" i="6" s="1"/>
  <c r="N840" i="6"/>
  <c r="P839" i="6"/>
  <c r="O839" i="6"/>
  <c r="Q839" i="6" s="1"/>
  <c r="N839" i="6"/>
  <c r="R839" i="6" s="1"/>
  <c r="R838" i="6"/>
  <c r="P838" i="6"/>
  <c r="O838" i="6"/>
  <c r="Q838" i="6" s="1"/>
  <c r="N838" i="6"/>
  <c r="P837" i="6"/>
  <c r="O837" i="6"/>
  <c r="Q837" i="6" s="1"/>
  <c r="N837" i="6"/>
  <c r="R837" i="6" s="1"/>
  <c r="P836" i="6"/>
  <c r="O836" i="6"/>
  <c r="Q836" i="6" s="1"/>
  <c r="N836" i="6"/>
  <c r="R836" i="6" s="1"/>
  <c r="P835" i="6"/>
  <c r="O835" i="6"/>
  <c r="Q835" i="6" s="1"/>
  <c r="N835" i="6"/>
  <c r="R835" i="6" s="1"/>
  <c r="P834" i="6"/>
  <c r="O834" i="6"/>
  <c r="Q834" i="6" s="1"/>
  <c r="N834" i="6"/>
  <c r="R834" i="6" s="1"/>
  <c r="R833" i="6"/>
  <c r="P833" i="6"/>
  <c r="O833" i="6"/>
  <c r="Q833" i="6" s="1"/>
  <c r="N833" i="6"/>
  <c r="R832" i="6"/>
  <c r="P832" i="6"/>
  <c r="O832" i="6"/>
  <c r="Q832" i="6" s="1"/>
  <c r="N832" i="6"/>
  <c r="R831" i="6"/>
  <c r="Q831" i="6"/>
  <c r="P831" i="6"/>
  <c r="O831" i="6"/>
  <c r="N831" i="6"/>
  <c r="P830" i="6"/>
  <c r="O830" i="6"/>
  <c r="Q830" i="6" s="1"/>
  <c r="N830" i="6"/>
  <c r="R830" i="6" s="1"/>
  <c r="R829" i="6"/>
  <c r="Q829" i="6"/>
  <c r="P829" i="6"/>
  <c r="O829" i="6"/>
  <c r="N829" i="6"/>
  <c r="P828" i="6"/>
  <c r="O828" i="6"/>
  <c r="Q828" i="6" s="1"/>
  <c r="N828" i="6"/>
  <c r="R828" i="6" s="1"/>
  <c r="R827" i="6"/>
  <c r="P827" i="6"/>
  <c r="O827" i="6"/>
  <c r="Q827" i="6" s="1"/>
  <c r="N827" i="6"/>
  <c r="P826" i="6"/>
  <c r="O826" i="6"/>
  <c r="Q826" i="6" s="1"/>
  <c r="N826" i="6"/>
  <c r="R826" i="6" s="1"/>
  <c r="P825" i="6"/>
  <c r="O825" i="6"/>
  <c r="Q825" i="6" s="1"/>
  <c r="N825" i="6"/>
  <c r="R825" i="6" s="1"/>
  <c r="P824" i="6"/>
  <c r="O824" i="6"/>
  <c r="Q824" i="6" s="1"/>
  <c r="N824" i="6"/>
  <c r="R824" i="6" s="1"/>
  <c r="Q823" i="6"/>
  <c r="P823" i="6"/>
  <c r="O823" i="6"/>
  <c r="N823" i="6"/>
  <c r="R823" i="6" s="1"/>
  <c r="R822" i="6"/>
  <c r="P822" i="6"/>
  <c r="O822" i="6"/>
  <c r="Q822" i="6" s="1"/>
  <c r="N822" i="6"/>
  <c r="R821" i="6"/>
  <c r="P821" i="6"/>
  <c r="O821" i="6"/>
  <c r="Q821" i="6" s="1"/>
  <c r="N821" i="6"/>
  <c r="R820" i="6"/>
  <c r="P820" i="6"/>
  <c r="O820" i="6"/>
  <c r="Q820" i="6" s="1"/>
  <c r="N820" i="6"/>
  <c r="P819" i="6"/>
  <c r="O819" i="6"/>
  <c r="Q819" i="6" s="1"/>
  <c r="N819" i="6"/>
  <c r="R819" i="6" s="1"/>
  <c r="R818" i="6"/>
  <c r="P818" i="6"/>
  <c r="O818" i="6"/>
  <c r="Q818" i="6" s="1"/>
  <c r="N818" i="6"/>
  <c r="P817" i="6"/>
  <c r="O817" i="6"/>
  <c r="Q817" i="6" s="1"/>
  <c r="N817" i="6"/>
  <c r="R817" i="6" s="1"/>
  <c r="P816" i="6"/>
  <c r="O816" i="6"/>
  <c r="Q816" i="6" s="1"/>
  <c r="N816" i="6"/>
  <c r="R816" i="6" s="1"/>
  <c r="P815" i="6"/>
  <c r="O815" i="6"/>
  <c r="Q815" i="6" s="1"/>
  <c r="N815" i="6"/>
  <c r="R815" i="6" s="1"/>
  <c r="P814" i="6"/>
  <c r="O814" i="6"/>
  <c r="Q814" i="6" s="1"/>
  <c r="N814" i="6"/>
  <c r="R814" i="6" s="1"/>
  <c r="R813" i="6"/>
  <c r="P813" i="6"/>
  <c r="O813" i="6"/>
  <c r="Q813" i="6" s="1"/>
  <c r="N813" i="6"/>
  <c r="R812" i="6"/>
  <c r="P812" i="6"/>
  <c r="O812" i="6"/>
  <c r="Q812" i="6" s="1"/>
  <c r="N812" i="6"/>
  <c r="R811" i="6"/>
  <c r="Q811" i="6"/>
  <c r="P811" i="6"/>
  <c r="O811" i="6"/>
  <c r="N811" i="6"/>
  <c r="P810" i="6"/>
  <c r="O810" i="6"/>
  <c r="Q810" i="6" s="1"/>
  <c r="N810" i="6"/>
  <c r="R810" i="6" s="1"/>
  <c r="R809" i="6"/>
  <c r="Q809" i="6"/>
  <c r="P809" i="6"/>
  <c r="O809" i="6"/>
  <c r="N809" i="6"/>
  <c r="P808" i="6"/>
  <c r="O808" i="6"/>
  <c r="Q808" i="6" s="1"/>
  <c r="N808" i="6"/>
  <c r="R808" i="6" s="1"/>
  <c r="R807" i="6"/>
  <c r="P807" i="6"/>
  <c r="O807" i="6"/>
  <c r="Q807" i="6" s="1"/>
  <c r="N807" i="6"/>
  <c r="P806" i="6"/>
  <c r="O806" i="6"/>
  <c r="Q806" i="6" s="1"/>
  <c r="N806" i="6"/>
  <c r="R806" i="6" s="1"/>
  <c r="P805" i="6"/>
  <c r="O805" i="6"/>
  <c r="Q805" i="6" s="1"/>
  <c r="N805" i="6"/>
  <c r="R805" i="6" s="1"/>
  <c r="P804" i="6"/>
  <c r="O804" i="6"/>
  <c r="Q804" i="6" s="1"/>
  <c r="N804" i="6"/>
  <c r="R804" i="6" s="1"/>
  <c r="Q803" i="6"/>
  <c r="P803" i="6"/>
  <c r="O803" i="6"/>
  <c r="N803" i="6"/>
  <c r="R803" i="6" s="1"/>
  <c r="R802" i="6"/>
  <c r="P802" i="6"/>
  <c r="O802" i="6"/>
  <c r="Q802" i="6" s="1"/>
  <c r="N802" i="6"/>
  <c r="P801" i="6"/>
  <c r="O801" i="6"/>
  <c r="Q801" i="6" s="1"/>
  <c r="N801" i="6"/>
  <c r="R801" i="6" s="1"/>
  <c r="R800" i="6"/>
  <c r="P800" i="6"/>
  <c r="O800" i="6"/>
  <c r="Q800" i="6" s="1"/>
  <c r="N800" i="6"/>
  <c r="P799" i="6"/>
  <c r="O799" i="6"/>
  <c r="Q799" i="6" s="1"/>
  <c r="N799" i="6"/>
  <c r="R799" i="6" s="1"/>
  <c r="R798" i="6"/>
  <c r="P798" i="6"/>
  <c r="O798" i="6"/>
  <c r="Q798" i="6" s="1"/>
  <c r="N798" i="6"/>
  <c r="P797" i="6"/>
  <c r="O797" i="6"/>
  <c r="Q797" i="6" s="1"/>
  <c r="N797" i="6"/>
  <c r="R797" i="6" s="1"/>
  <c r="P796" i="6"/>
  <c r="O796" i="6"/>
  <c r="Q796" i="6" s="1"/>
  <c r="N796" i="6"/>
  <c r="R796" i="6" s="1"/>
  <c r="P795" i="6"/>
  <c r="O795" i="6"/>
  <c r="Q795" i="6" s="1"/>
  <c r="N795" i="6"/>
  <c r="R795" i="6" s="1"/>
  <c r="P794" i="6"/>
  <c r="O794" i="6"/>
  <c r="Q794" i="6" s="1"/>
  <c r="N794" i="6"/>
  <c r="R794" i="6" s="1"/>
  <c r="R793" i="6"/>
  <c r="P793" i="6"/>
  <c r="O793" i="6"/>
  <c r="Q793" i="6" s="1"/>
  <c r="N793" i="6"/>
  <c r="P792" i="6"/>
  <c r="O792" i="6"/>
  <c r="Q792" i="6" s="1"/>
  <c r="N792" i="6"/>
  <c r="R792" i="6" s="1"/>
  <c r="R791" i="6"/>
  <c r="Q791" i="6"/>
  <c r="P791" i="6"/>
  <c r="O791" i="6"/>
  <c r="N791" i="6"/>
  <c r="P790" i="6"/>
  <c r="O790" i="6"/>
  <c r="Q790" i="6" s="1"/>
  <c r="N790" i="6"/>
  <c r="R790" i="6" s="1"/>
  <c r="R789" i="6"/>
  <c r="Q789" i="6"/>
  <c r="P789" i="6"/>
  <c r="O789" i="6"/>
  <c r="N789" i="6"/>
  <c r="P788" i="6"/>
  <c r="O788" i="6"/>
  <c r="Q788" i="6" s="1"/>
  <c r="N788" i="6"/>
  <c r="R788" i="6" s="1"/>
  <c r="R787" i="6"/>
  <c r="P787" i="6"/>
  <c r="O787" i="6"/>
  <c r="Q787" i="6" s="1"/>
  <c r="N787" i="6"/>
  <c r="P786" i="6"/>
  <c r="O786" i="6"/>
  <c r="Q786" i="6" s="1"/>
  <c r="N786" i="6"/>
  <c r="R786" i="6" s="1"/>
  <c r="P785" i="6"/>
  <c r="O785" i="6"/>
  <c r="Q785" i="6" s="1"/>
  <c r="N785" i="6"/>
  <c r="R785" i="6" s="1"/>
  <c r="P784" i="6"/>
  <c r="O784" i="6"/>
  <c r="Q784" i="6" s="1"/>
  <c r="N784" i="6"/>
  <c r="R784" i="6" s="1"/>
  <c r="P783" i="6"/>
  <c r="O783" i="6"/>
  <c r="Q783" i="6" s="1"/>
  <c r="N783" i="6"/>
  <c r="R783" i="6" s="1"/>
  <c r="R782" i="6"/>
  <c r="P782" i="6"/>
  <c r="O782" i="6"/>
  <c r="Q782" i="6" s="1"/>
  <c r="N782" i="6"/>
  <c r="P781" i="6"/>
  <c r="O781" i="6"/>
  <c r="Q781" i="6" s="1"/>
  <c r="N781" i="6"/>
  <c r="R781" i="6" s="1"/>
  <c r="R780" i="6"/>
  <c r="P780" i="6"/>
  <c r="O780" i="6"/>
  <c r="Q780" i="6" s="1"/>
  <c r="N780" i="6"/>
  <c r="P779" i="6"/>
  <c r="O779" i="6"/>
  <c r="Q779" i="6" s="1"/>
  <c r="N779" i="6"/>
  <c r="R779" i="6" s="1"/>
  <c r="R778" i="6"/>
  <c r="P778" i="6"/>
  <c r="O778" i="6"/>
  <c r="Q778" i="6" s="1"/>
  <c r="N778" i="6"/>
  <c r="P777" i="6"/>
  <c r="O777" i="6"/>
  <c r="Q777" i="6" s="1"/>
  <c r="N777" i="6"/>
  <c r="R777" i="6" s="1"/>
  <c r="P776" i="6"/>
  <c r="O776" i="6"/>
  <c r="Q776" i="6" s="1"/>
  <c r="N776" i="6"/>
  <c r="R776" i="6" s="1"/>
  <c r="P775" i="6"/>
  <c r="O775" i="6"/>
  <c r="Q775" i="6" s="1"/>
  <c r="N775" i="6"/>
  <c r="R775" i="6" s="1"/>
  <c r="P774" i="6"/>
  <c r="O774" i="6"/>
  <c r="Q774" i="6" s="1"/>
  <c r="N774" i="6"/>
  <c r="R774" i="6" s="1"/>
  <c r="R773" i="6"/>
  <c r="P773" i="6"/>
  <c r="O773" i="6"/>
  <c r="Q773" i="6" s="1"/>
  <c r="N773" i="6"/>
  <c r="P772" i="6"/>
  <c r="O772" i="6"/>
  <c r="Q772" i="6" s="1"/>
  <c r="N772" i="6"/>
  <c r="R772" i="6" s="1"/>
  <c r="R771" i="6"/>
  <c r="Q771" i="6"/>
  <c r="P771" i="6"/>
  <c r="O771" i="6"/>
  <c r="N771" i="6"/>
  <c r="P770" i="6"/>
  <c r="O770" i="6"/>
  <c r="Q770" i="6" s="1"/>
  <c r="N770" i="6"/>
  <c r="R770" i="6" s="1"/>
  <c r="R769" i="6"/>
  <c r="Q769" i="6"/>
  <c r="P769" i="6"/>
  <c r="O769" i="6"/>
  <c r="N769" i="6"/>
  <c r="P768" i="6"/>
  <c r="O768" i="6"/>
  <c r="Q768" i="6" s="1"/>
  <c r="N768" i="6"/>
  <c r="R768" i="6" s="1"/>
  <c r="R767" i="6"/>
  <c r="P767" i="6"/>
  <c r="O767" i="6"/>
  <c r="Q767" i="6" s="1"/>
  <c r="N767" i="6"/>
  <c r="P766" i="6"/>
  <c r="O766" i="6"/>
  <c r="Q766" i="6" s="1"/>
  <c r="N766" i="6"/>
  <c r="R766" i="6" s="1"/>
  <c r="P765" i="6"/>
  <c r="O765" i="6"/>
  <c r="Q765" i="6" s="1"/>
  <c r="N765" i="6"/>
  <c r="R765" i="6" s="1"/>
  <c r="P764" i="6"/>
  <c r="O764" i="6"/>
  <c r="Q764" i="6" s="1"/>
  <c r="N764" i="6"/>
  <c r="R764" i="6" s="1"/>
  <c r="P763" i="6"/>
  <c r="O763" i="6"/>
  <c r="Q763" i="6" s="1"/>
  <c r="N763" i="6"/>
  <c r="R763" i="6" s="1"/>
  <c r="R762" i="6"/>
  <c r="P762" i="6"/>
  <c r="O762" i="6"/>
  <c r="Q762" i="6" s="1"/>
  <c r="N762" i="6"/>
  <c r="P761" i="6"/>
  <c r="O761" i="6"/>
  <c r="Q761" i="6" s="1"/>
  <c r="N761" i="6"/>
  <c r="R761" i="6" s="1"/>
  <c r="R760" i="6"/>
  <c r="P760" i="6"/>
  <c r="O760" i="6"/>
  <c r="Q760" i="6" s="1"/>
  <c r="N760" i="6"/>
  <c r="P759" i="6"/>
  <c r="O759" i="6"/>
  <c r="Q759" i="6" s="1"/>
  <c r="N759" i="6"/>
  <c r="R759" i="6" s="1"/>
  <c r="R758" i="6"/>
  <c r="P758" i="6"/>
  <c r="O758" i="6"/>
  <c r="Q758" i="6" s="1"/>
  <c r="N758" i="6"/>
  <c r="P757" i="6"/>
  <c r="O757" i="6"/>
  <c r="Q757" i="6" s="1"/>
  <c r="N757" i="6"/>
  <c r="R757" i="6" s="1"/>
  <c r="P756" i="6"/>
  <c r="O756" i="6"/>
  <c r="Q756" i="6" s="1"/>
  <c r="N756" i="6"/>
  <c r="R756" i="6" s="1"/>
  <c r="P755" i="6"/>
  <c r="O755" i="6"/>
  <c r="Q755" i="6" s="1"/>
  <c r="N755" i="6"/>
  <c r="R755" i="6" s="1"/>
  <c r="P754" i="6"/>
  <c r="O754" i="6"/>
  <c r="Q754" i="6" s="1"/>
  <c r="N754" i="6"/>
  <c r="R754" i="6" s="1"/>
  <c r="R753" i="6"/>
  <c r="P753" i="6"/>
  <c r="O753" i="6"/>
  <c r="Q753" i="6" s="1"/>
  <c r="N753" i="6"/>
  <c r="P752" i="6"/>
  <c r="O752" i="6"/>
  <c r="Q752" i="6" s="1"/>
  <c r="N752" i="6"/>
  <c r="R752" i="6" s="1"/>
  <c r="R751" i="6"/>
  <c r="Q751" i="6"/>
  <c r="P751" i="6"/>
  <c r="O751" i="6"/>
  <c r="N751" i="6"/>
  <c r="P750" i="6"/>
  <c r="O750" i="6"/>
  <c r="Q750" i="6" s="1"/>
  <c r="N750" i="6"/>
  <c r="R750" i="6" s="1"/>
  <c r="R749" i="6"/>
  <c r="Q749" i="6"/>
  <c r="P749" i="6"/>
  <c r="O749" i="6"/>
  <c r="N749" i="6"/>
  <c r="P748" i="6"/>
  <c r="O748" i="6"/>
  <c r="Q748" i="6" s="1"/>
  <c r="N748" i="6"/>
  <c r="R748" i="6" s="1"/>
  <c r="R747" i="6"/>
  <c r="P747" i="6"/>
  <c r="O747" i="6"/>
  <c r="Q747" i="6" s="1"/>
  <c r="N747" i="6"/>
  <c r="P746" i="6"/>
  <c r="O746" i="6"/>
  <c r="Q746" i="6" s="1"/>
  <c r="N746" i="6"/>
  <c r="R746" i="6" s="1"/>
  <c r="P745" i="6"/>
  <c r="O745" i="6"/>
  <c r="Q745" i="6" s="1"/>
  <c r="N745" i="6"/>
  <c r="R745" i="6" s="1"/>
  <c r="P744" i="6"/>
  <c r="O744" i="6"/>
  <c r="Q744" i="6" s="1"/>
  <c r="N744" i="6"/>
  <c r="R744" i="6" s="1"/>
  <c r="P743" i="6"/>
  <c r="O743" i="6"/>
  <c r="Q743" i="6" s="1"/>
  <c r="N743" i="6"/>
  <c r="R743" i="6" s="1"/>
  <c r="R742" i="6"/>
  <c r="P742" i="6"/>
  <c r="O742" i="6"/>
  <c r="Q742" i="6" s="1"/>
  <c r="N742" i="6"/>
  <c r="P741" i="6"/>
  <c r="O741" i="6"/>
  <c r="Q741" i="6" s="1"/>
  <c r="N741" i="6"/>
  <c r="R741" i="6" s="1"/>
  <c r="R740" i="6"/>
  <c r="P740" i="6"/>
  <c r="O740" i="6"/>
  <c r="Q740" i="6" s="1"/>
  <c r="N740" i="6"/>
  <c r="P739" i="6"/>
  <c r="O739" i="6"/>
  <c r="Q739" i="6" s="1"/>
  <c r="N739" i="6"/>
  <c r="R739" i="6" s="1"/>
  <c r="R738" i="6"/>
  <c r="P738" i="6"/>
  <c r="O738" i="6"/>
  <c r="Q738" i="6" s="1"/>
  <c r="N738" i="6"/>
  <c r="P737" i="6"/>
  <c r="O737" i="6"/>
  <c r="Q737" i="6" s="1"/>
  <c r="N737" i="6"/>
  <c r="R737" i="6" s="1"/>
  <c r="P736" i="6"/>
  <c r="O736" i="6"/>
  <c r="Q736" i="6" s="1"/>
  <c r="N736" i="6"/>
  <c r="R736" i="6" s="1"/>
  <c r="P735" i="6"/>
  <c r="O735" i="6"/>
  <c r="Q735" i="6" s="1"/>
  <c r="N735" i="6"/>
  <c r="R735" i="6" s="1"/>
  <c r="P734" i="6"/>
  <c r="O734" i="6"/>
  <c r="Q734" i="6" s="1"/>
  <c r="N734" i="6"/>
  <c r="R734" i="6" s="1"/>
  <c r="R733" i="6"/>
  <c r="P733" i="6"/>
  <c r="O733" i="6"/>
  <c r="Q733" i="6" s="1"/>
  <c r="N733" i="6"/>
  <c r="P732" i="6"/>
  <c r="O732" i="6"/>
  <c r="Q732" i="6" s="1"/>
  <c r="N732" i="6"/>
  <c r="R732" i="6" s="1"/>
  <c r="R731" i="6"/>
  <c r="Q731" i="6"/>
  <c r="P731" i="6"/>
  <c r="O731" i="6"/>
  <c r="N731" i="6"/>
  <c r="P730" i="6"/>
  <c r="O730" i="6"/>
  <c r="Q730" i="6" s="1"/>
  <c r="N730" i="6"/>
  <c r="R730" i="6" s="1"/>
  <c r="R729" i="6"/>
  <c r="Q729" i="6"/>
  <c r="P729" i="6"/>
  <c r="O729" i="6"/>
  <c r="N729" i="6"/>
  <c r="P728" i="6"/>
  <c r="O728" i="6"/>
  <c r="Q728" i="6" s="1"/>
  <c r="N728" i="6"/>
  <c r="R728" i="6" s="1"/>
  <c r="R727" i="6"/>
  <c r="P727" i="6"/>
  <c r="O727" i="6"/>
  <c r="Q727" i="6" s="1"/>
  <c r="N727" i="6"/>
  <c r="P726" i="6"/>
  <c r="O726" i="6"/>
  <c r="Q726" i="6" s="1"/>
  <c r="N726" i="6"/>
  <c r="R726" i="6" s="1"/>
  <c r="P725" i="6"/>
  <c r="O725" i="6"/>
  <c r="Q725" i="6" s="1"/>
  <c r="N725" i="6"/>
  <c r="R725" i="6" s="1"/>
  <c r="P724" i="6"/>
  <c r="O724" i="6"/>
  <c r="Q724" i="6" s="1"/>
  <c r="N724" i="6"/>
  <c r="R724" i="6" s="1"/>
  <c r="P723" i="6"/>
  <c r="O723" i="6"/>
  <c r="Q723" i="6" s="1"/>
  <c r="N723" i="6"/>
  <c r="R723" i="6" s="1"/>
  <c r="R722" i="6"/>
  <c r="P722" i="6"/>
  <c r="O722" i="6"/>
  <c r="Q722" i="6" s="1"/>
  <c r="N722" i="6"/>
  <c r="P721" i="6"/>
  <c r="O721" i="6"/>
  <c r="Q721" i="6" s="1"/>
  <c r="N721" i="6"/>
  <c r="R721" i="6" s="1"/>
  <c r="R720" i="6"/>
  <c r="P720" i="6"/>
  <c r="O720" i="6"/>
  <c r="Q720" i="6" s="1"/>
  <c r="N720" i="6"/>
  <c r="P719" i="6"/>
  <c r="O719" i="6"/>
  <c r="Q719" i="6" s="1"/>
  <c r="N719" i="6"/>
  <c r="R719" i="6" s="1"/>
  <c r="R718" i="6"/>
  <c r="P718" i="6"/>
  <c r="O718" i="6"/>
  <c r="Q718" i="6" s="1"/>
  <c r="N718" i="6"/>
  <c r="P717" i="6"/>
  <c r="O717" i="6"/>
  <c r="Q717" i="6" s="1"/>
  <c r="N717" i="6"/>
  <c r="R717" i="6" s="1"/>
  <c r="P716" i="6"/>
  <c r="O716" i="6"/>
  <c r="Q716" i="6" s="1"/>
  <c r="N716" i="6"/>
  <c r="R716" i="6" s="1"/>
  <c r="P715" i="6"/>
  <c r="O715" i="6"/>
  <c r="Q715" i="6" s="1"/>
  <c r="N715" i="6"/>
  <c r="R715" i="6" s="1"/>
  <c r="P714" i="6"/>
  <c r="O714" i="6"/>
  <c r="Q714" i="6" s="1"/>
  <c r="N714" i="6"/>
  <c r="R714" i="6" s="1"/>
  <c r="R713" i="6"/>
  <c r="P713" i="6"/>
  <c r="O713" i="6"/>
  <c r="Q713" i="6" s="1"/>
  <c r="N713" i="6"/>
  <c r="P712" i="6"/>
  <c r="O712" i="6"/>
  <c r="Q712" i="6" s="1"/>
  <c r="N712" i="6"/>
  <c r="R712" i="6" s="1"/>
  <c r="R711" i="6"/>
  <c r="Q711" i="6"/>
  <c r="P711" i="6"/>
  <c r="O711" i="6"/>
  <c r="N711" i="6"/>
  <c r="P710" i="6"/>
  <c r="O710" i="6"/>
  <c r="Q710" i="6" s="1"/>
  <c r="N710" i="6"/>
  <c r="R710" i="6" s="1"/>
  <c r="R709" i="6"/>
  <c r="Q709" i="6"/>
  <c r="P709" i="6"/>
  <c r="O709" i="6"/>
  <c r="N709" i="6"/>
  <c r="P708" i="6"/>
  <c r="O708" i="6"/>
  <c r="Q708" i="6" s="1"/>
  <c r="N708" i="6"/>
  <c r="R708" i="6" s="1"/>
  <c r="R707" i="6"/>
  <c r="P707" i="6"/>
  <c r="O707" i="6"/>
  <c r="Q707" i="6" s="1"/>
  <c r="N707" i="6"/>
  <c r="P706" i="6"/>
  <c r="O706" i="6"/>
  <c r="Q706" i="6" s="1"/>
  <c r="N706" i="6"/>
  <c r="R706" i="6" s="1"/>
  <c r="P705" i="6"/>
  <c r="O705" i="6"/>
  <c r="Q705" i="6" s="1"/>
  <c r="N705" i="6"/>
  <c r="R705" i="6" s="1"/>
  <c r="P704" i="6"/>
  <c r="O704" i="6"/>
  <c r="Q704" i="6" s="1"/>
  <c r="N704" i="6"/>
  <c r="R704" i="6" s="1"/>
  <c r="P703" i="6"/>
  <c r="O703" i="6"/>
  <c r="Q703" i="6" s="1"/>
  <c r="N703" i="6"/>
  <c r="R703" i="6" s="1"/>
  <c r="R702" i="6"/>
  <c r="P702" i="6"/>
  <c r="O702" i="6"/>
  <c r="Q702" i="6" s="1"/>
  <c r="N702" i="6"/>
  <c r="P701" i="6"/>
  <c r="O701" i="6"/>
  <c r="Q701" i="6" s="1"/>
  <c r="N701" i="6"/>
  <c r="R701" i="6" s="1"/>
  <c r="R700" i="6"/>
  <c r="P700" i="6"/>
  <c r="O700" i="6"/>
  <c r="Q700" i="6" s="1"/>
  <c r="N700" i="6"/>
  <c r="P699" i="6"/>
  <c r="O699" i="6"/>
  <c r="Q699" i="6" s="1"/>
  <c r="N699" i="6"/>
  <c r="R699" i="6" s="1"/>
  <c r="R698" i="6"/>
  <c r="P698" i="6"/>
  <c r="O698" i="6"/>
  <c r="Q698" i="6" s="1"/>
  <c r="N698" i="6"/>
  <c r="P697" i="6"/>
  <c r="O697" i="6"/>
  <c r="Q697" i="6" s="1"/>
  <c r="N697" i="6"/>
  <c r="R697" i="6" s="1"/>
  <c r="P696" i="6"/>
  <c r="O696" i="6"/>
  <c r="Q696" i="6" s="1"/>
  <c r="N696" i="6"/>
  <c r="R696" i="6" s="1"/>
  <c r="P695" i="6"/>
  <c r="O695" i="6"/>
  <c r="Q695" i="6" s="1"/>
  <c r="N695" i="6"/>
  <c r="R695" i="6" s="1"/>
  <c r="P694" i="6"/>
  <c r="O694" i="6"/>
  <c r="Q694" i="6" s="1"/>
  <c r="N694" i="6"/>
  <c r="R694" i="6" s="1"/>
  <c r="R693" i="6"/>
  <c r="P693" i="6"/>
  <c r="O693" i="6"/>
  <c r="Q693" i="6" s="1"/>
  <c r="N693" i="6"/>
  <c r="P692" i="6"/>
  <c r="O692" i="6"/>
  <c r="Q692" i="6" s="1"/>
  <c r="N692" i="6"/>
  <c r="R692" i="6" s="1"/>
  <c r="R691" i="6"/>
  <c r="Q691" i="6"/>
  <c r="P691" i="6"/>
  <c r="O691" i="6"/>
  <c r="N691" i="6"/>
  <c r="P690" i="6"/>
  <c r="O690" i="6"/>
  <c r="Q690" i="6" s="1"/>
  <c r="N690" i="6"/>
  <c r="R690" i="6" s="1"/>
  <c r="R689" i="6"/>
  <c r="Q689" i="6"/>
  <c r="P689" i="6"/>
  <c r="O689" i="6"/>
  <c r="N689" i="6"/>
  <c r="P688" i="6"/>
  <c r="O688" i="6"/>
  <c r="Q688" i="6" s="1"/>
  <c r="N688" i="6"/>
  <c r="R688" i="6" s="1"/>
  <c r="R687" i="6"/>
  <c r="P687" i="6"/>
  <c r="O687" i="6"/>
  <c r="Q687" i="6" s="1"/>
  <c r="N687" i="6"/>
  <c r="P686" i="6"/>
  <c r="O686" i="6"/>
  <c r="Q686" i="6" s="1"/>
  <c r="N686" i="6"/>
  <c r="R686" i="6" s="1"/>
  <c r="P685" i="6"/>
  <c r="O685" i="6"/>
  <c r="Q685" i="6" s="1"/>
  <c r="N685" i="6"/>
  <c r="R685" i="6" s="1"/>
  <c r="P684" i="6"/>
  <c r="O684" i="6"/>
  <c r="Q684" i="6" s="1"/>
  <c r="N684" i="6"/>
  <c r="R684" i="6" s="1"/>
  <c r="P683" i="6"/>
  <c r="O683" i="6"/>
  <c r="Q683" i="6" s="1"/>
  <c r="N683" i="6"/>
  <c r="R683" i="6" s="1"/>
  <c r="R682" i="6"/>
  <c r="P682" i="6"/>
  <c r="O682" i="6"/>
  <c r="Q682" i="6" s="1"/>
  <c r="N682" i="6"/>
  <c r="P681" i="6"/>
  <c r="O681" i="6"/>
  <c r="Q681" i="6" s="1"/>
  <c r="N681" i="6"/>
  <c r="R681" i="6" s="1"/>
  <c r="R680" i="6"/>
  <c r="P680" i="6"/>
  <c r="O680" i="6"/>
  <c r="Q680" i="6" s="1"/>
  <c r="N680" i="6"/>
  <c r="P679" i="6"/>
  <c r="O679" i="6"/>
  <c r="Q679" i="6" s="1"/>
  <c r="N679" i="6"/>
  <c r="R679" i="6" s="1"/>
  <c r="R678" i="6"/>
  <c r="P678" i="6"/>
  <c r="O678" i="6"/>
  <c r="Q678" i="6" s="1"/>
  <c r="N678" i="6"/>
  <c r="P677" i="6"/>
  <c r="O677" i="6"/>
  <c r="Q677" i="6" s="1"/>
  <c r="N677" i="6"/>
  <c r="R677" i="6" s="1"/>
  <c r="P676" i="6"/>
  <c r="O676" i="6"/>
  <c r="Q676" i="6" s="1"/>
  <c r="N676" i="6"/>
  <c r="R676" i="6" s="1"/>
  <c r="P675" i="6"/>
  <c r="O675" i="6"/>
  <c r="Q675" i="6" s="1"/>
  <c r="N675" i="6"/>
  <c r="R675" i="6" s="1"/>
  <c r="P674" i="6"/>
  <c r="O674" i="6"/>
  <c r="Q674" i="6" s="1"/>
  <c r="N674" i="6"/>
  <c r="R674" i="6" s="1"/>
  <c r="R673" i="6"/>
  <c r="P673" i="6"/>
  <c r="O673" i="6"/>
  <c r="Q673" i="6" s="1"/>
  <c r="N673" i="6"/>
  <c r="P672" i="6"/>
  <c r="O672" i="6"/>
  <c r="Q672" i="6" s="1"/>
  <c r="N672" i="6"/>
  <c r="R672" i="6" s="1"/>
  <c r="R671" i="6"/>
  <c r="Q671" i="6"/>
  <c r="P671" i="6"/>
  <c r="O671" i="6"/>
  <c r="N671" i="6"/>
  <c r="P670" i="6"/>
  <c r="O670" i="6"/>
  <c r="Q670" i="6" s="1"/>
  <c r="N670" i="6"/>
  <c r="R670" i="6" s="1"/>
  <c r="R669" i="6"/>
  <c r="Q669" i="6"/>
  <c r="P669" i="6"/>
  <c r="O669" i="6"/>
  <c r="N669" i="6"/>
  <c r="P668" i="6"/>
  <c r="O668" i="6"/>
  <c r="Q668" i="6" s="1"/>
  <c r="N668" i="6"/>
  <c r="R668" i="6" s="1"/>
  <c r="R667" i="6"/>
  <c r="P667" i="6"/>
  <c r="O667" i="6"/>
  <c r="Q667" i="6" s="1"/>
  <c r="N667" i="6"/>
  <c r="P666" i="6"/>
  <c r="O666" i="6"/>
  <c r="Q666" i="6" s="1"/>
  <c r="N666" i="6"/>
  <c r="R666" i="6" s="1"/>
  <c r="P665" i="6"/>
  <c r="O665" i="6"/>
  <c r="Q665" i="6" s="1"/>
  <c r="N665" i="6"/>
  <c r="R665" i="6" s="1"/>
  <c r="P664" i="6"/>
  <c r="O664" i="6"/>
  <c r="Q664" i="6" s="1"/>
  <c r="N664" i="6"/>
  <c r="R664" i="6" s="1"/>
  <c r="P663" i="6"/>
  <c r="O663" i="6"/>
  <c r="Q663" i="6" s="1"/>
  <c r="N663" i="6"/>
  <c r="R663" i="6" s="1"/>
  <c r="R662" i="6"/>
  <c r="P662" i="6"/>
  <c r="O662" i="6"/>
  <c r="Q662" i="6" s="1"/>
  <c r="N662" i="6"/>
  <c r="P661" i="6"/>
  <c r="O661" i="6"/>
  <c r="Q661" i="6" s="1"/>
  <c r="N661" i="6"/>
  <c r="R661" i="6" s="1"/>
  <c r="R660" i="6"/>
  <c r="P660" i="6"/>
  <c r="O660" i="6"/>
  <c r="Q660" i="6" s="1"/>
  <c r="N660" i="6"/>
  <c r="P659" i="6"/>
  <c r="O659" i="6"/>
  <c r="Q659" i="6" s="1"/>
  <c r="N659" i="6"/>
  <c r="R659" i="6" s="1"/>
  <c r="R658" i="6"/>
  <c r="P658" i="6"/>
  <c r="O658" i="6"/>
  <c r="Q658" i="6" s="1"/>
  <c r="N658" i="6"/>
  <c r="P657" i="6"/>
  <c r="O657" i="6"/>
  <c r="Q657" i="6" s="1"/>
  <c r="N657" i="6"/>
  <c r="R657" i="6" s="1"/>
  <c r="P656" i="6"/>
  <c r="O656" i="6"/>
  <c r="Q656" i="6" s="1"/>
  <c r="N656" i="6"/>
  <c r="R656" i="6" s="1"/>
  <c r="P655" i="6"/>
  <c r="O655" i="6"/>
  <c r="Q655" i="6" s="1"/>
  <c r="N655" i="6"/>
  <c r="R655" i="6" s="1"/>
  <c r="P654" i="6"/>
  <c r="O654" i="6"/>
  <c r="Q654" i="6" s="1"/>
  <c r="N654" i="6"/>
  <c r="R654" i="6" s="1"/>
  <c r="R653" i="6"/>
  <c r="P653" i="6"/>
  <c r="O653" i="6"/>
  <c r="Q653" i="6" s="1"/>
  <c r="N653" i="6"/>
  <c r="P652" i="6"/>
  <c r="O652" i="6"/>
  <c r="Q652" i="6" s="1"/>
  <c r="N652" i="6"/>
  <c r="R652" i="6" s="1"/>
  <c r="R651" i="6"/>
  <c r="Q651" i="6"/>
  <c r="P651" i="6"/>
  <c r="O651" i="6"/>
  <c r="N651" i="6"/>
  <c r="P650" i="6"/>
  <c r="O650" i="6"/>
  <c r="Q650" i="6" s="1"/>
  <c r="N650" i="6"/>
  <c r="R650" i="6" s="1"/>
  <c r="R649" i="6"/>
  <c r="Q649" i="6"/>
  <c r="P649" i="6"/>
  <c r="O649" i="6"/>
  <c r="N649" i="6"/>
  <c r="P648" i="6"/>
  <c r="O648" i="6"/>
  <c r="Q648" i="6" s="1"/>
  <c r="N648" i="6"/>
  <c r="R648" i="6" s="1"/>
  <c r="R647" i="6"/>
  <c r="P647" i="6"/>
  <c r="O647" i="6"/>
  <c r="Q647" i="6" s="1"/>
  <c r="N647" i="6"/>
  <c r="P646" i="6"/>
  <c r="O646" i="6"/>
  <c r="Q646" i="6" s="1"/>
  <c r="N646" i="6"/>
  <c r="R646" i="6" s="1"/>
  <c r="P645" i="6"/>
  <c r="O645" i="6"/>
  <c r="Q645" i="6" s="1"/>
  <c r="N645" i="6"/>
  <c r="R645" i="6" s="1"/>
  <c r="P644" i="6"/>
  <c r="O644" i="6"/>
  <c r="Q644" i="6" s="1"/>
  <c r="N644" i="6"/>
  <c r="R644" i="6" s="1"/>
  <c r="P643" i="6"/>
  <c r="O643" i="6"/>
  <c r="Q643" i="6" s="1"/>
  <c r="N643" i="6"/>
  <c r="R643" i="6" s="1"/>
  <c r="R642" i="6"/>
  <c r="P642" i="6"/>
  <c r="O642" i="6"/>
  <c r="Q642" i="6" s="1"/>
  <c r="N642" i="6"/>
  <c r="P641" i="6"/>
  <c r="O641" i="6"/>
  <c r="Q641" i="6" s="1"/>
  <c r="N641" i="6"/>
  <c r="R641" i="6" s="1"/>
  <c r="R640" i="6"/>
  <c r="P640" i="6"/>
  <c r="O640" i="6"/>
  <c r="Q640" i="6" s="1"/>
  <c r="N640" i="6"/>
  <c r="P639" i="6"/>
  <c r="O639" i="6"/>
  <c r="Q639" i="6" s="1"/>
  <c r="N639" i="6"/>
  <c r="R639" i="6" s="1"/>
  <c r="R638" i="6"/>
  <c r="P638" i="6"/>
  <c r="O638" i="6"/>
  <c r="Q638" i="6" s="1"/>
  <c r="N638" i="6"/>
  <c r="P637" i="6"/>
  <c r="O637" i="6"/>
  <c r="Q637" i="6" s="1"/>
  <c r="N637" i="6"/>
  <c r="R637" i="6" s="1"/>
  <c r="P636" i="6"/>
  <c r="O636" i="6"/>
  <c r="Q636" i="6" s="1"/>
  <c r="N636" i="6"/>
  <c r="R636" i="6" s="1"/>
  <c r="P635" i="6"/>
  <c r="O635" i="6"/>
  <c r="Q635" i="6" s="1"/>
  <c r="N635" i="6"/>
  <c r="R635" i="6" s="1"/>
  <c r="P634" i="6"/>
  <c r="O634" i="6"/>
  <c r="Q634" i="6" s="1"/>
  <c r="N634" i="6"/>
  <c r="R634" i="6" s="1"/>
  <c r="R633" i="6"/>
  <c r="P633" i="6"/>
  <c r="O633" i="6"/>
  <c r="Q633" i="6" s="1"/>
  <c r="N633" i="6"/>
  <c r="P632" i="6"/>
  <c r="O632" i="6"/>
  <c r="Q632" i="6" s="1"/>
  <c r="N632" i="6"/>
  <c r="R632" i="6" s="1"/>
  <c r="R631" i="6"/>
  <c r="Q631" i="6"/>
  <c r="P631" i="6"/>
  <c r="O631" i="6"/>
  <c r="N631" i="6"/>
  <c r="P630" i="6"/>
  <c r="O630" i="6"/>
  <c r="Q630" i="6" s="1"/>
  <c r="N630" i="6"/>
  <c r="R630" i="6" s="1"/>
  <c r="R629" i="6"/>
  <c r="Q629" i="6"/>
  <c r="P629" i="6"/>
  <c r="O629" i="6"/>
  <c r="N629" i="6"/>
  <c r="P628" i="6"/>
  <c r="O628" i="6"/>
  <c r="Q628" i="6" s="1"/>
  <c r="N628" i="6"/>
  <c r="R628" i="6" s="1"/>
  <c r="R627" i="6"/>
  <c r="P627" i="6"/>
  <c r="O627" i="6"/>
  <c r="Q627" i="6" s="1"/>
  <c r="N627" i="6"/>
  <c r="P626" i="6"/>
  <c r="O626" i="6"/>
  <c r="Q626" i="6" s="1"/>
  <c r="N626" i="6"/>
  <c r="R626" i="6" s="1"/>
  <c r="P625" i="6"/>
  <c r="O625" i="6"/>
  <c r="Q625" i="6" s="1"/>
  <c r="N625" i="6"/>
  <c r="R625" i="6" s="1"/>
  <c r="P624" i="6"/>
  <c r="O624" i="6"/>
  <c r="Q624" i="6" s="1"/>
  <c r="N624" i="6"/>
  <c r="R624" i="6" s="1"/>
  <c r="P623" i="6"/>
  <c r="O623" i="6"/>
  <c r="Q623" i="6" s="1"/>
  <c r="N623" i="6"/>
  <c r="R623" i="6" s="1"/>
  <c r="R622" i="6"/>
  <c r="P622" i="6"/>
  <c r="O622" i="6"/>
  <c r="Q622" i="6" s="1"/>
  <c r="N622" i="6"/>
  <c r="P621" i="6"/>
  <c r="O621" i="6"/>
  <c r="Q621" i="6" s="1"/>
  <c r="N621" i="6"/>
  <c r="R621" i="6" s="1"/>
  <c r="R620" i="6"/>
  <c r="P620" i="6"/>
  <c r="O620" i="6"/>
  <c r="Q620" i="6" s="1"/>
  <c r="N620" i="6"/>
  <c r="P619" i="6"/>
  <c r="O619" i="6"/>
  <c r="Q619" i="6" s="1"/>
  <c r="N619" i="6"/>
  <c r="R619" i="6" s="1"/>
  <c r="R618" i="6"/>
  <c r="P618" i="6"/>
  <c r="O618" i="6"/>
  <c r="Q618" i="6" s="1"/>
  <c r="N618" i="6"/>
  <c r="P617" i="6"/>
  <c r="O617" i="6"/>
  <c r="Q617" i="6" s="1"/>
  <c r="N617" i="6"/>
  <c r="R617" i="6" s="1"/>
  <c r="P616" i="6"/>
  <c r="O616" i="6"/>
  <c r="Q616" i="6" s="1"/>
  <c r="N616" i="6"/>
  <c r="R616" i="6" s="1"/>
  <c r="P615" i="6"/>
  <c r="O615" i="6"/>
  <c r="Q615" i="6" s="1"/>
  <c r="N615" i="6"/>
  <c r="R615" i="6" s="1"/>
  <c r="P614" i="6"/>
  <c r="O614" i="6"/>
  <c r="Q614" i="6" s="1"/>
  <c r="N614" i="6"/>
  <c r="R614" i="6" s="1"/>
  <c r="R613" i="6"/>
  <c r="P613" i="6"/>
  <c r="O613" i="6"/>
  <c r="Q613" i="6" s="1"/>
  <c r="N613" i="6"/>
  <c r="P612" i="6"/>
  <c r="O612" i="6"/>
  <c r="Q612" i="6" s="1"/>
  <c r="N612" i="6"/>
  <c r="R612" i="6" s="1"/>
  <c r="R611" i="6"/>
  <c r="Q611" i="6"/>
  <c r="P611" i="6"/>
  <c r="O611" i="6"/>
  <c r="N611" i="6"/>
  <c r="P610" i="6"/>
  <c r="O610" i="6"/>
  <c r="Q610" i="6" s="1"/>
  <c r="N610" i="6"/>
  <c r="R610" i="6" s="1"/>
  <c r="R609" i="6"/>
  <c r="Q609" i="6"/>
  <c r="P609" i="6"/>
  <c r="O609" i="6"/>
  <c r="N609" i="6"/>
  <c r="P608" i="6"/>
  <c r="O608" i="6"/>
  <c r="Q608" i="6" s="1"/>
  <c r="N608" i="6"/>
  <c r="R608" i="6" s="1"/>
  <c r="R607" i="6"/>
  <c r="P607" i="6"/>
  <c r="O607" i="6"/>
  <c r="Q607" i="6" s="1"/>
  <c r="N607" i="6"/>
  <c r="P606" i="6"/>
  <c r="O606" i="6"/>
  <c r="Q606" i="6" s="1"/>
  <c r="N606" i="6"/>
  <c r="R606" i="6" s="1"/>
  <c r="P605" i="6"/>
  <c r="O605" i="6"/>
  <c r="Q605" i="6" s="1"/>
  <c r="N605" i="6"/>
  <c r="R605" i="6" s="1"/>
  <c r="P604" i="6"/>
  <c r="O604" i="6"/>
  <c r="Q604" i="6" s="1"/>
  <c r="N604" i="6"/>
  <c r="R604" i="6" s="1"/>
  <c r="P603" i="6"/>
  <c r="O603" i="6"/>
  <c r="Q603" i="6" s="1"/>
  <c r="N603" i="6"/>
  <c r="R603" i="6" s="1"/>
  <c r="R602" i="6"/>
  <c r="P602" i="6"/>
  <c r="O602" i="6"/>
  <c r="Q602" i="6" s="1"/>
  <c r="N602" i="6"/>
  <c r="P601" i="6"/>
  <c r="O601" i="6"/>
  <c r="Q601" i="6" s="1"/>
  <c r="N601" i="6"/>
  <c r="R601" i="6" s="1"/>
  <c r="R600" i="6"/>
  <c r="P600" i="6"/>
  <c r="O600" i="6"/>
  <c r="Q600" i="6" s="1"/>
  <c r="N600" i="6"/>
  <c r="P599" i="6"/>
  <c r="O599" i="6"/>
  <c r="Q599" i="6" s="1"/>
  <c r="N599" i="6"/>
  <c r="R599" i="6" s="1"/>
  <c r="R598" i="6"/>
  <c r="P598" i="6"/>
  <c r="O598" i="6"/>
  <c r="Q598" i="6" s="1"/>
  <c r="N598" i="6"/>
  <c r="P597" i="6"/>
  <c r="O597" i="6"/>
  <c r="Q597" i="6" s="1"/>
  <c r="N597" i="6"/>
  <c r="R597" i="6" s="1"/>
  <c r="R596" i="6"/>
  <c r="P596" i="6"/>
  <c r="O596" i="6"/>
  <c r="Q596" i="6" s="1"/>
  <c r="N596" i="6"/>
  <c r="P595" i="6"/>
  <c r="O595" i="6"/>
  <c r="Q595" i="6" s="1"/>
  <c r="N595" i="6"/>
  <c r="R595" i="6" s="1"/>
  <c r="P594" i="6"/>
  <c r="O594" i="6"/>
  <c r="Q594" i="6" s="1"/>
  <c r="N594" i="6"/>
  <c r="R594" i="6" s="1"/>
  <c r="R593" i="6"/>
  <c r="P593" i="6"/>
  <c r="O593" i="6"/>
  <c r="Q593" i="6" s="1"/>
  <c r="N593" i="6"/>
  <c r="P592" i="6"/>
  <c r="O592" i="6"/>
  <c r="Q592" i="6" s="1"/>
  <c r="N592" i="6"/>
  <c r="R592" i="6" s="1"/>
  <c r="R591" i="6"/>
  <c r="Q591" i="6"/>
  <c r="P591" i="6"/>
  <c r="O591" i="6"/>
  <c r="N591" i="6"/>
  <c r="P590" i="6"/>
  <c r="O590" i="6"/>
  <c r="Q590" i="6" s="1"/>
  <c r="N590" i="6"/>
  <c r="R590" i="6" s="1"/>
  <c r="R589" i="6"/>
  <c r="Q589" i="6"/>
  <c r="P589" i="6"/>
  <c r="O589" i="6"/>
  <c r="N589" i="6"/>
  <c r="P588" i="6"/>
  <c r="O588" i="6"/>
  <c r="Q588" i="6" s="1"/>
  <c r="N588" i="6"/>
  <c r="R588" i="6" s="1"/>
  <c r="R587" i="6"/>
  <c r="Q587" i="6"/>
  <c r="P587" i="6"/>
  <c r="O587" i="6"/>
  <c r="N587" i="6"/>
  <c r="P586" i="6"/>
  <c r="O586" i="6"/>
  <c r="Q586" i="6" s="1"/>
  <c r="N586" i="6"/>
  <c r="R586" i="6" s="1"/>
  <c r="R585" i="6"/>
  <c r="P585" i="6"/>
  <c r="O585" i="6"/>
  <c r="Q585" i="6" s="1"/>
  <c r="N585" i="6"/>
  <c r="P584" i="6"/>
  <c r="O584" i="6"/>
  <c r="Q584" i="6" s="1"/>
  <c r="N584" i="6"/>
  <c r="R584" i="6" s="1"/>
  <c r="P583" i="6"/>
  <c r="O583" i="6"/>
  <c r="Q583" i="6" s="1"/>
  <c r="N583" i="6"/>
  <c r="R583" i="6" s="1"/>
  <c r="R582" i="6"/>
  <c r="P582" i="6"/>
  <c r="O582" i="6"/>
  <c r="Q582" i="6" s="1"/>
  <c r="N582" i="6"/>
  <c r="P581" i="6"/>
  <c r="O581" i="6"/>
  <c r="Q581" i="6" s="1"/>
  <c r="N581" i="6"/>
  <c r="R581" i="6" s="1"/>
  <c r="R580" i="6"/>
  <c r="P580" i="6"/>
  <c r="O580" i="6"/>
  <c r="Q580" i="6" s="1"/>
  <c r="N580" i="6"/>
  <c r="Q579" i="6"/>
  <c r="P579" i="6"/>
  <c r="O579" i="6"/>
  <c r="N579" i="6"/>
  <c r="R579" i="6" s="1"/>
  <c r="R578" i="6"/>
  <c r="P578" i="6"/>
  <c r="O578" i="6"/>
  <c r="Q578" i="6" s="1"/>
  <c r="N578" i="6"/>
  <c r="P577" i="6"/>
  <c r="O577" i="6"/>
  <c r="Q577" i="6" s="1"/>
  <c r="N577" i="6"/>
  <c r="R577" i="6" s="1"/>
  <c r="P576" i="6"/>
  <c r="O576" i="6"/>
  <c r="Q576" i="6" s="1"/>
  <c r="N576" i="6"/>
  <c r="R576" i="6" s="1"/>
  <c r="P575" i="6"/>
  <c r="O575" i="6"/>
  <c r="Q575" i="6" s="1"/>
  <c r="N575" i="6"/>
  <c r="R575" i="6" s="1"/>
  <c r="Q574" i="6"/>
  <c r="P574" i="6"/>
  <c r="O574" i="6"/>
  <c r="N574" i="6"/>
  <c r="R574" i="6" s="1"/>
  <c r="P573" i="6"/>
  <c r="O573" i="6"/>
  <c r="Q573" i="6" s="1"/>
  <c r="N573" i="6"/>
  <c r="R573" i="6" s="1"/>
  <c r="R572" i="6"/>
  <c r="P572" i="6"/>
  <c r="O572" i="6"/>
  <c r="Q572" i="6" s="1"/>
  <c r="N572" i="6"/>
  <c r="P571" i="6"/>
  <c r="O571" i="6"/>
  <c r="Q571" i="6" s="1"/>
  <c r="N571" i="6"/>
  <c r="R571" i="6" s="1"/>
  <c r="R570" i="6"/>
  <c r="Q570" i="6"/>
  <c r="P570" i="6"/>
  <c r="O570" i="6"/>
  <c r="N570" i="6"/>
  <c r="P569" i="6"/>
  <c r="O569" i="6"/>
  <c r="Q569" i="6" s="1"/>
  <c r="N569" i="6"/>
  <c r="R569" i="6" s="1"/>
  <c r="P568" i="6"/>
  <c r="O568" i="6"/>
  <c r="Q568" i="6" s="1"/>
  <c r="N568" i="6"/>
  <c r="R568" i="6" s="1"/>
  <c r="P567" i="6"/>
  <c r="O567" i="6"/>
  <c r="Q567" i="6" s="1"/>
  <c r="N567" i="6"/>
  <c r="R567" i="6" s="1"/>
  <c r="P566" i="6"/>
  <c r="O566" i="6"/>
  <c r="Q566" i="6" s="1"/>
  <c r="N566" i="6"/>
  <c r="R566" i="6" s="1"/>
  <c r="P565" i="6"/>
  <c r="O565" i="6"/>
  <c r="Q565" i="6" s="1"/>
  <c r="N565" i="6"/>
  <c r="R565" i="6" s="1"/>
  <c r="Q564" i="6"/>
  <c r="P564" i="6"/>
  <c r="O564" i="6"/>
  <c r="N564" i="6"/>
  <c r="R564" i="6" s="1"/>
  <c r="P563" i="6"/>
  <c r="O563" i="6"/>
  <c r="Q563" i="6" s="1"/>
  <c r="N563" i="6"/>
  <c r="R563" i="6" s="1"/>
  <c r="R562" i="6"/>
  <c r="P562" i="6"/>
  <c r="O562" i="6"/>
  <c r="Q562" i="6" s="1"/>
  <c r="N562" i="6"/>
  <c r="P561" i="6"/>
  <c r="O561" i="6"/>
  <c r="Q561" i="6" s="1"/>
  <c r="N561" i="6"/>
  <c r="R561" i="6" s="1"/>
  <c r="R560" i="6"/>
  <c r="Q560" i="6"/>
  <c r="P560" i="6"/>
  <c r="O560" i="6"/>
  <c r="N560" i="6"/>
  <c r="P559" i="6"/>
  <c r="O559" i="6"/>
  <c r="Q559" i="6" s="1"/>
  <c r="N559" i="6"/>
  <c r="R559" i="6" s="1"/>
  <c r="P558" i="6"/>
  <c r="O558" i="6"/>
  <c r="Q558" i="6" s="1"/>
  <c r="N558" i="6"/>
  <c r="R558" i="6" s="1"/>
  <c r="P557" i="6"/>
  <c r="O557" i="6"/>
  <c r="Q557" i="6" s="1"/>
  <c r="N557" i="6"/>
  <c r="R557" i="6" s="1"/>
  <c r="P556" i="6"/>
  <c r="O556" i="6"/>
  <c r="Q556" i="6" s="1"/>
  <c r="N556" i="6"/>
  <c r="R556" i="6" s="1"/>
  <c r="P555" i="6"/>
  <c r="O555" i="6"/>
  <c r="Q555" i="6" s="1"/>
  <c r="N555" i="6"/>
  <c r="R555" i="6" s="1"/>
  <c r="Q554" i="6"/>
  <c r="P554" i="6"/>
  <c r="O554" i="6"/>
  <c r="N554" i="6"/>
  <c r="R554" i="6" s="1"/>
  <c r="P553" i="6"/>
  <c r="O553" i="6"/>
  <c r="Q553" i="6" s="1"/>
  <c r="N553" i="6"/>
  <c r="R553" i="6" s="1"/>
  <c r="R552" i="6"/>
  <c r="P552" i="6"/>
  <c r="O552" i="6"/>
  <c r="Q552" i="6" s="1"/>
  <c r="N552" i="6"/>
  <c r="P551" i="6"/>
  <c r="O551" i="6"/>
  <c r="Q551" i="6" s="1"/>
  <c r="N551" i="6"/>
  <c r="R551" i="6" s="1"/>
  <c r="R550" i="6"/>
  <c r="Q550" i="6"/>
  <c r="P550" i="6"/>
  <c r="O550" i="6"/>
  <c r="N550" i="6"/>
  <c r="P549" i="6"/>
  <c r="O549" i="6"/>
  <c r="Q549" i="6" s="1"/>
  <c r="N549" i="6"/>
  <c r="R549" i="6" s="1"/>
  <c r="P548" i="6"/>
  <c r="O548" i="6"/>
  <c r="Q548" i="6" s="1"/>
  <c r="N548" i="6"/>
  <c r="R548" i="6" s="1"/>
  <c r="P547" i="6"/>
  <c r="O547" i="6"/>
  <c r="Q547" i="6" s="1"/>
  <c r="N547" i="6"/>
  <c r="R547" i="6" s="1"/>
  <c r="P546" i="6"/>
  <c r="O546" i="6"/>
  <c r="Q546" i="6" s="1"/>
  <c r="N546" i="6"/>
  <c r="R546" i="6" s="1"/>
  <c r="P545" i="6"/>
  <c r="O545" i="6"/>
  <c r="Q545" i="6" s="1"/>
  <c r="N545" i="6"/>
  <c r="R545" i="6" s="1"/>
  <c r="Q544" i="6"/>
  <c r="P544" i="6"/>
  <c r="O544" i="6"/>
  <c r="N544" i="6"/>
  <c r="R544" i="6" s="1"/>
  <c r="P543" i="6"/>
  <c r="O543" i="6"/>
  <c r="Q543" i="6" s="1"/>
  <c r="N543" i="6"/>
  <c r="R543" i="6" s="1"/>
  <c r="R542" i="6"/>
  <c r="P542" i="6"/>
  <c r="O542" i="6"/>
  <c r="Q542" i="6" s="1"/>
  <c r="N542" i="6"/>
  <c r="P541" i="6"/>
  <c r="O541" i="6"/>
  <c r="Q541" i="6" s="1"/>
  <c r="N541" i="6"/>
  <c r="R541" i="6" s="1"/>
  <c r="R540" i="6"/>
  <c r="Q540" i="6"/>
  <c r="P540" i="6"/>
  <c r="O540" i="6"/>
  <c r="N540" i="6"/>
  <c r="P539" i="6"/>
  <c r="O539" i="6"/>
  <c r="Q539" i="6" s="1"/>
  <c r="N539" i="6"/>
  <c r="R539" i="6" s="1"/>
  <c r="P538" i="6"/>
  <c r="O538" i="6"/>
  <c r="Q538" i="6" s="1"/>
  <c r="N538" i="6"/>
  <c r="R538" i="6" s="1"/>
  <c r="P537" i="6"/>
  <c r="O537" i="6"/>
  <c r="Q537" i="6" s="1"/>
  <c r="N537" i="6"/>
  <c r="R537" i="6" s="1"/>
  <c r="P536" i="6"/>
  <c r="O536" i="6"/>
  <c r="Q536" i="6" s="1"/>
  <c r="N536" i="6"/>
  <c r="R536" i="6" s="1"/>
  <c r="P535" i="6"/>
  <c r="O535" i="6"/>
  <c r="Q535" i="6" s="1"/>
  <c r="N535" i="6"/>
  <c r="R535" i="6" s="1"/>
  <c r="Q534" i="6"/>
  <c r="P534" i="6"/>
  <c r="O534" i="6"/>
  <c r="N534" i="6"/>
  <c r="R534" i="6" s="1"/>
  <c r="P533" i="6"/>
  <c r="O533" i="6"/>
  <c r="Q533" i="6" s="1"/>
  <c r="N533" i="6"/>
  <c r="R533" i="6" s="1"/>
  <c r="R532" i="6"/>
  <c r="P532" i="6"/>
  <c r="O532" i="6"/>
  <c r="Q532" i="6" s="1"/>
  <c r="N532" i="6"/>
  <c r="P531" i="6"/>
  <c r="O531" i="6"/>
  <c r="Q531" i="6" s="1"/>
  <c r="N531" i="6"/>
  <c r="R531" i="6" s="1"/>
  <c r="R530" i="6"/>
  <c r="Q530" i="6"/>
  <c r="P530" i="6"/>
  <c r="O530" i="6"/>
  <c r="N530" i="6"/>
  <c r="P529" i="6"/>
  <c r="O529" i="6"/>
  <c r="Q529" i="6" s="1"/>
  <c r="N529" i="6"/>
  <c r="R529" i="6" s="1"/>
  <c r="P528" i="6"/>
  <c r="O528" i="6"/>
  <c r="Q528" i="6" s="1"/>
  <c r="N528" i="6"/>
  <c r="R528" i="6" s="1"/>
  <c r="P527" i="6"/>
  <c r="O527" i="6"/>
  <c r="Q527" i="6" s="1"/>
  <c r="N527" i="6"/>
  <c r="R527" i="6" s="1"/>
  <c r="P526" i="6"/>
  <c r="O526" i="6"/>
  <c r="Q526" i="6" s="1"/>
  <c r="N526" i="6"/>
  <c r="R526" i="6" s="1"/>
  <c r="P525" i="6"/>
  <c r="O525" i="6"/>
  <c r="Q525" i="6" s="1"/>
  <c r="N525" i="6"/>
  <c r="R525" i="6" s="1"/>
  <c r="Q524" i="6"/>
  <c r="P524" i="6"/>
  <c r="O524" i="6"/>
  <c r="N524" i="6"/>
  <c r="R524" i="6" s="1"/>
  <c r="P523" i="6"/>
  <c r="O523" i="6"/>
  <c r="Q523" i="6" s="1"/>
  <c r="N523" i="6"/>
  <c r="R523" i="6" s="1"/>
  <c r="R522" i="6"/>
  <c r="P522" i="6"/>
  <c r="O522" i="6"/>
  <c r="Q522" i="6" s="1"/>
  <c r="N522" i="6"/>
  <c r="P521" i="6"/>
  <c r="O521" i="6"/>
  <c r="Q521" i="6" s="1"/>
  <c r="N521" i="6"/>
  <c r="R521" i="6" s="1"/>
  <c r="R520" i="6"/>
  <c r="Q520" i="6"/>
  <c r="P520" i="6"/>
  <c r="O520" i="6"/>
  <c r="N520" i="6"/>
  <c r="P519" i="6"/>
  <c r="O519" i="6"/>
  <c r="Q519" i="6" s="1"/>
  <c r="N519" i="6"/>
  <c r="R519" i="6" s="1"/>
  <c r="P518" i="6"/>
  <c r="O518" i="6"/>
  <c r="Q518" i="6" s="1"/>
  <c r="N518" i="6"/>
  <c r="R518" i="6" s="1"/>
  <c r="P517" i="6"/>
  <c r="O517" i="6"/>
  <c r="Q517" i="6" s="1"/>
  <c r="N517" i="6"/>
  <c r="R517" i="6" s="1"/>
  <c r="P516" i="6"/>
  <c r="O516" i="6"/>
  <c r="Q516" i="6" s="1"/>
  <c r="N516" i="6"/>
  <c r="R516" i="6" s="1"/>
  <c r="P515" i="6"/>
  <c r="O515" i="6"/>
  <c r="Q515" i="6" s="1"/>
  <c r="N515" i="6"/>
  <c r="R515" i="6" s="1"/>
  <c r="Q514" i="6"/>
  <c r="P514" i="6"/>
  <c r="O514" i="6"/>
  <c r="N514" i="6"/>
  <c r="R514" i="6" s="1"/>
  <c r="P513" i="6"/>
  <c r="O513" i="6"/>
  <c r="Q513" i="6" s="1"/>
  <c r="N513" i="6"/>
  <c r="R513" i="6" s="1"/>
  <c r="R512" i="6"/>
  <c r="P512" i="6"/>
  <c r="O512" i="6"/>
  <c r="Q512" i="6" s="1"/>
  <c r="N512" i="6"/>
  <c r="P511" i="6"/>
  <c r="O511" i="6"/>
  <c r="Q511" i="6" s="1"/>
  <c r="N511" i="6"/>
  <c r="R511" i="6" s="1"/>
  <c r="R510" i="6"/>
  <c r="Q510" i="6"/>
  <c r="P510" i="6"/>
  <c r="O510" i="6"/>
  <c r="N510" i="6"/>
  <c r="P509" i="6"/>
  <c r="O509" i="6"/>
  <c r="Q509" i="6" s="1"/>
  <c r="N509" i="6"/>
  <c r="R509" i="6" s="1"/>
  <c r="P508" i="6"/>
  <c r="O508" i="6"/>
  <c r="Q508" i="6" s="1"/>
  <c r="N508" i="6"/>
  <c r="R508" i="6" s="1"/>
  <c r="P507" i="6"/>
  <c r="O507" i="6"/>
  <c r="Q507" i="6" s="1"/>
  <c r="N507" i="6"/>
  <c r="R507" i="6" s="1"/>
  <c r="P506" i="6"/>
  <c r="O506" i="6"/>
  <c r="Q506" i="6" s="1"/>
  <c r="N506" i="6"/>
  <c r="R506" i="6" s="1"/>
  <c r="P505" i="6"/>
  <c r="O505" i="6"/>
  <c r="Q505" i="6" s="1"/>
  <c r="N505" i="6"/>
  <c r="R505" i="6" s="1"/>
  <c r="Q504" i="6"/>
  <c r="P504" i="6"/>
  <c r="O504" i="6"/>
  <c r="N504" i="6"/>
  <c r="R504" i="6" s="1"/>
  <c r="P503" i="6"/>
  <c r="O503" i="6"/>
  <c r="Q503" i="6" s="1"/>
  <c r="N503" i="6"/>
  <c r="R503" i="6" s="1"/>
  <c r="R502" i="6"/>
  <c r="P502" i="6"/>
  <c r="O502" i="6"/>
  <c r="Q502" i="6" s="1"/>
  <c r="N502" i="6"/>
  <c r="P501" i="6"/>
  <c r="O501" i="6"/>
  <c r="Q501" i="6" s="1"/>
  <c r="N501" i="6"/>
  <c r="R501" i="6" s="1"/>
  <c r="R500" i="6"/>
  <c r="Q500" i="6"/>
  <c r="P500" i="6"/>
  <c r="O500" i="6"/>
  <c r="N500" i="6"/>
  <c r="P499" i="6"/>
  <c r="O499" i="6"/>
  <c r="Q499" i="6" s="1"/>
  <c r="N499" i="6"/>
  <c r="R499" i="6" s="1"/>
  <c r="P498" i="6"/>
  <c r="O498" i="6"/>
  <c r="Q498" i="6" s="1"/>
  <c r="N498" i="6"/>
  <c r="R498" i="6" s="1"/>
  <c r="P497" i="6"/>
  <c r="O497" i="6"/>
  <c r="Q497" i="6" s="1"/>
  <c r="N497" i="6"/>
  <c r="R497" i="6" s="1"/>
  <c r="P496" i="6"/>
  <c r="O496" i="6"/>
  <c r="Q496" i="6" s="1"/>
  <c r="N496" i="6"/>
  <c r="R496" i="6" s="1"/>
  <c r="Q495" i="6"/>
  <c r="P495" i="6"/>
  <c r="O495" i="6"/>
  <c r="N495" i="6"/>
  <c r="R495" i="6" s="1"/>
  <c r="P494" i="6"/>
  <c r="O494" i="6"/>
  <c r="Q494" i="6" s="1"/>
  <c r="N494" i="6"/>
  <c r="R494" i="6" s="1"/>
  <c r="Q493" i="6"/>
  <c r="P493" i="6"/>
  <c r="O493" i="6"/>
  <c r="N493" i="6"/>
  <c r="R493" i="6" s="1"/>
  <c r="R492" i="6"/>
  <c r="Q492" i="6"/>
  <c r="P492" i="6"/>
  <c r="O492" i="6"/>
  <c r="N492" i="6"/>
  <c r="P491" i="6"/>
  <c r="O491" i="6"/>
  <c r="Q491" i="6" s="1"/>
  <c r="N491" i="6"/>
  <c r="R491" i="6" s="1"/>
  <c r="Q490" i="6"/>
  <c r="P490" i="6"/>
  <c r="O490" i="6"/>
  <c r="N490" i="6"/>
  <c r="R490" i="6" s="1"/>
  <c r="P489" i="6"/>
  <c r="O489" i="6"/>
  <c r="Q489" i="6" s="1"/>
  <c r="N489" i="6"/>
  <c r="R489" i="6" s="1"/>
  <c r="P488" i="6"/>
  <c r="O488" i="6"/>
  <c r="Q488" i="6" s="1"/>
  <c r="N488" i="6"/>
  <c r="R488" i="6" s="1"/>
  <c r="P487" i="6"/>
  <c r="O487" i="6"/>
  <c r="Q487" i="6" s="1"/>
  <c r="N487" i="6"/>
  <c r="R487" i="6" s="1"/>
  <c r="R486" i="6"/>
  <c r="P486" i="6"/>
  <c r="O486" i="6"/>
  <c r="Q486" i="6" s="1"/>
  <c r="N486" i="6"/>
  <c r="P485" i="6"/>
  <c r="O485" i="6"/>
  <c r="Q485" i="6" s="1"/>
  <c r="N485" i="6"/>
  <c r="R485" i="6" s="1"/>
  <c r="R484" i="6"/>
  <c r="Q484" i="6"/>
  <c r="P484" i="6"/>
  <c r="O484" i="6"/>
  <c r="N484" i="6"/>
  <c r="Q483" i="6"/>
  <c r="P483" i="6"/>
  <c r="O483" i="6"/>
  <c r="N483" i="6"/>
  <c r="R483" i="6" s="1"/>
  <c r="R482" i="6"/>
  <c r="Q482" i="6"/>
  <c r="P482" i="6"/>
  <c r="O482" i="6"/>
  <c r="N482" i="6"/>
  <c r="Q481" i="6"/>
  <c r="P481" i="6"/>
  <c r="O481" i="6"/>
  <c r="N481" i="6"/>
  <c r="R481" i="6" s="1"/>
  <c r="R480" i="6"/>
  <c r="P480" i="6"/>
  <c r="O480" i="6"/>
  <c r="Q480" i="6" s="1"/>
  <c r="N480" i="6"/>
  <c r="P479" i="6"/>
  <c r="O479" i="6"/>
  <c r="Q479" i="6" s="1"/>
  <c r="N479" i="6"/>
  <c r="R479" i="6" s="1"/>
  <c r="P478" i="6"/>
  <c r="O478" i="6"/>
  <c r="Q478" i="6" s="1"/>
  <c r="N478" i="6"/>
  <c r="R478" i="6" s="1"/>
  <c r="P477" i="6"/>
  <c r="O477" i="6"/>
  <c r="Q477" i="6" s="1"/>
  <c r="N477" i="6"/>
  <c r="R477" i="6" s="1"/>
  <c r="P476" i="6"/>
  <c r="O476" i="6"/>
  <c r="Q476" i="6" s="1"/>
  <c r="N476" i="6"/>
  <c r="R476" i="6" s="1"/>
  <c r="Q475" i="6"/>
  <c r="P475" i="6"/>
  <c r="O475" i="6"/>
  <c r="N475" i="6"/>
  <c r="R475" i="6" s="1"/>
  <c r="P474" i="6"/>
  <c r="O474" i="6"/>
  <c r="Q474" i="6" s="1"/>
  <c r="N474" i="6"/>
  <c r="R474" i="6" s="1"/>
  <c r="Q473" i="6"/>
  <c r="P473" i="6"/>
  <c r="O473" i="6"/>
  <c r="N473" i="6"/>
  <c r="R473" i="6" s="1"/>
  <c r="R472" i="6"/>
  <c r="Q472" i="6"/>
  <c r="P472" i="6"/>
  <c r="O472" i="6"/>
  <c r="N472" i="6"/>
  <c r="P471" i="6"/>
  <c r="O471" i="6"/>
  <c r="Q471" i="6" s="1"/>
  <c r="N471" i="6"/>
  <c r="R471" i="6" s="1"/>
  <c r="Q470" i="6"/>
  <c r="P470" i="6"/>
  <c r="O470" i="6"/>
  <c r="N470" i="6"/>
  <c r="R470" i="6" s="1"/>
  <c r="P469" i="6"/>
  <c r="O469" i="6"/>
  <c r="Q469" i="6" s="1"/>
  <c r="N469" i="6"/>
  <c r="R469" i="6" s="1"/>
  <c r="P468" i="6"/>
  <c r="O468" i="6"/>
  <c r="Q468" i="6" s="1"/>
  <c r="N468" i="6"/>
  <c r="R468" i="6" s="1"/>
  <c r="P467" i="6"/>
  <c r="O467" i="6"/>
  <c r="Q467" i="6" s="1"/>
  <c r="N467" i="6"/>
  <c r="R467" i="6" s="1"/>
  <c r="R466" i="6"/>
  <c r="P466" i="6"/>
  <c r="O466" i="6"/>
  <c r="Q466" i="6" s="1"/>
  <c r="N466" i="6"/>
  <c r="P465" i="6"/>
  <c r="O465" i="6"/>
  <c r="Q465" i="6" s="1"/>
  <c r="N465" i="6"/>
  <c r="R465" i="6" s="1"/>
  <c r="R464" i="6"/>
  <c r="Q464" i="6"/>
  <c r="P464" i="6"/>
  <c r="O464" i="6"/>
  <c r="N464" i="6"/>
  <c r="Q463" i="6"/>
  <c r="P463" i="6"/>
  <c r="O463" i="6"/>
  <c r="N463" i="6"/>
  <c r="R463" i="6" s="1"/>
  <c r="R462" i="6"/>
  <c r="Q462" i="6"/>
  <c r="P462" i="6"/>
  <c r="O462" i="6"/>
  <c r="N462" i="6"/>
  <c r="Q461" i="6"/>
  <c r="P461" i="6"/>
  <c r="O461" i="6"/>
  <c r="N461" i="6"/>
  <c r="R461" i="6" s="1"/>
  <c r="R460" i="6"/>
  <c r="P460" i="6"/>
  <c r="O460" i="6"/>
  <c r="Q460" i="6" s="1"/>
  <c r="N460" i="6"/>
  <c r="P459" i="6"/>
  <c r="O459" i="6"/>
  <c r="Q459" i="6" s="1"/>
  <c r="N459" i="6"/>
  <c r="R459" i="6" s="1"/>
  <c r="P458" i="6"/>
  <c r="O458" i="6"/>
  <c r="Q458" i="6" s="1"/>
  <c r="N458" i="6"/>
  <c r="R458" i="6" s="1"/>
  <c r="P457" i="6"/>
  <c r="O457" i="6"/>
  <c r="Q457" i="6" s="1"/>
  <c r="N457" i="6"/>
  <c r="R457" i="6" s="1"/>
  <c r="P456" i="6"/>
  <c r="O456" i="6"/>
  <c r="Q456" i="6" s="1"/>
  <c r="N456" i="6"/>
  <c r="R456" i="6" s="1"/>
  <c r="Q455" i="6"/>
  <c r="P455" i="6"/>
  <c r="O455" i="6"/>
  <c r="N455" i="6"/>
  <c r="R455" i="6" s="1"/>
  <c r="P454" i="6"/>
  <c r="O454" i="6"/>
  <c r="Q454" i="6" s="1"/>
  <c r="N454" i="6"/>
  <c r="R454" i="6" s="1"/>
  <c r="Q453" i="6"/>
  <c r="P453" i="6"/>
  <c r="O453" i="6"/>
  <c r="N453" i="6"/>
  <c r="R453" i="6" s="1"/>
  <c r="R452" i="6"/>
  <c r="Q452" i="6"/>
  <c r="P452" i="6"/>
  <c r="O452" i="6"/>
  <c r="N452" i="6"/>
  <c r="P451" i="6"/>
  <c r="O451" i="6"/>
  <c r="Q451" i="6" s="1"/>
  <c r="N451" i="6"/>
  <c r="R451" i="6" s="1"/>
  <c r="Q450" i="6"/>
  <c r="P450" i="6"/>
  <c r="O450" i="6"/>
  <c r="N450" i="6"/>
  <c r="R450" i="6" s="1"/>
  <c r="P449" i="6"/>
  <c r="O449" i="6"/>
  <c r="Q449" i="6" s="1"/>
  <c r="N449" i="6"/>
  <c r="R449" i="6" s="1"/>
  <c r="P448" i="6"/>
  <c r="O448" i="6"/>
  <c r="Q448" i="6" s="1"/>
  <c r="N448" i="6"/>
  <c r="R448" i="6" s="1"/>
  <c r="P447" i="6"/>
  <c r="O447" i="6"/>
  <c r="Q447" i="6" s="1"/>
  <c r="N447" i="6"/>
  <c r="R447" i="6" s="1"/>
  <c r="R446" i="6"/>
  <c r="P446" i="6"/>
  <c r="O446" i="6"/>
  <c r="Q446" i="6" s="1"/>
  <c r="N446" i="6"/>
  <c r="P445" i="6"/>
  <c r="O445" i="6"/>
  <c r="Q445" i="6" s="1"/>
  <c r="N445" i="6"/>
  <c r="R445" i="6" s="1"/>
  <c r="R444" i="6"/>
  <c r="Q444" i="6"/>
  <c r="P444" i="6"/>
  <c r="O444" i="6"/>
  <c r="N444" i="6"/>
  <c r="Q443" i="6"/>
  <c r="P443" i="6"/>
  <c r="O443" i="6"/>
  <c r="N443" i="6"/>
  <c r="R443" i="6" s="1"/>
  <c r="R442" i="6"/>
  <c r="Q442" i="6"/>
  <c r="P442" i="6"/>
  <c r="O442" i="6"/>
  <c r="N442" i="6"/>
  <c r="Q441" i="6"/>
  <c r="P441" i="6"/>
  <c r="O441" i="6"/>
  <c r="N441" i="6"/>
  <c r="R441" i="6" s="1"/>
  <c r="R440" i="6"/>
  <c r="P440" i="6"/>
  <c r="O440" i="6"/>
  <c r="Q440" i="6" s="1"/>
  <c r="N440" i="6"/>
  <c r="P439" i="6"/>
  <c r="O439" i="6"/>
  <c r="Q439" i="6" s="1"/>
  <c r="N439" i="6"/>
  <c r="R439" i="6" s="1"/>
  <c r="P438" i="6"/>
  <c r="O438" i="6"/>
  <c r="Q438" i="6" s="1"/>
  <c r="N438" i="6"/>
  <c r="R438" i="6" s="1"/>
  <c r="P437" i="6"/>
  <c r="O437" i="6"/>
  <c r="Q437" i="6" s="1"/>
  <c r="N437" i="6"/>
  <c r="R437" i="6" s="1"/>
  <c r="P436" i="6"/>
  <c r="O436" i="6"/>
  <c r="Q436" i="6" s="1"/>
  <c r="N436" i="6"/>
  <c r="R436" i="6" s="1"/>
  <c r="Q435" i="6"/>
  <c r="P435" i="6"/>
  <c r="O435" i="6"/>
  <c r="N435" i="6"/>
  <c r="R435" i="6" s="1"/>
  <c r="P434" i="6"/>
  <c r="O434" i="6"/>
  <c r="Q434" i="6" s="1"/>
  <c r="N434" i="6"/>
  <c r="R434" i="6" s="1"/>
  <c r="Q433" i="6"/>
  <c r="P433" i="6"/>
  <c r="O433" i="6"/>
  <c r="N433" i="6"/>
  <c r="R433" i="6" s="1"/>
  <c r="R432" i="6"/>
  <c r="Q432" i="6"/>
  <c r="P432" i="6"/>
  <c r="O432" i="6"/>
  <c r="N432" i="6"/>
  <c r="P431" i="6"/>
  <c r="O431" i="6"/>
  <c r="Q431" i="6" s="1"/>
  <c r="N431" i="6"/>
  <c r="R431" i="6" s="1"/>
  <c r="Q430" i="6"/>
  <c r="P430" i="6"/>
  <c r="O430" i="6"/>
  <c r="N430" i="6"/>
  <c r="R430" i="6" s="1"/>
  <c r="P429" i="6"/>
  <c r="O429" i="6"/>
  <c r="Q429" i="6" s="1"/>
  <c r="N429" i="6"/>
  <c r="R429" i="6" s="1"/>
  <c r="P428" i="6"/>
  <c r="O428" i="6"/>
  <c r="Q428" i="6" s="1"/>
  <c r="N428" i="6"/>
  <c r="R428" i="6" s="1"/>
  <c r="P427" i="6"/>
  <c r="O427" i="6"/>
  <c r="Q427" i="6" s="1"/>
  <c r="N427" i="6"/>
  <c r="R427" i="6" s="1"/>
  <c r="R426" i="6"/>
  <c r="P426" i="6"/>
  <c r="O426" i="6"/>
  <c r="Q426" i="6" s="1"/>
  <c r="N426" i="6"/>
  <c r="P425" i="6"/>
  <c r="O425" i="6"/>
  <c r="Q425" i="6" s="1"/>
  <c r="N425" i="6"/>
  <c r="R425" i="6" s="1"/>
  <c r="R424" i="6"/>
  <c r="Q424" i="6"/>
  <c r="P424" i="6"/>
  <c r="O424" i="6"/>
  <c r="N424" i="6"/>
  <c r="Q423" i="6"/>
  <c r="P423" i="6"/>
  <c r="O423" i="6"/>
  <c r="N423" i="6"/>
  <c r="R423" i="6" s="1"/>
  <c r="R422" i="6"/>
  <c r="Q422" i="6"/>
  <c r="P422" i="6"/>
  <c r="O422" i="6"/>
  <c r="N422" i="6"/>
  <c r="Q421" i="6"/>
  <c r="P421" i="6"/>
  <c r="O421" i="6"/>
  <c r="N421" i="6"/>
  <c r="R421" i="6" s="1"/>
  <c r="R420" i="6"/>
  <c r="P420" i="6"/>
  <c r="O420" i="6"/>
  <c r="Q420" i="6" s="1"/>
  <c r="N420" i="6"/>
  <c r="P419" i="6"/>
  <c r="O419" i="6"/>
  <c r="Q419" i="6" s="1"/>
  <c r="N419" i="6"/>
  <c r="R419" i="6" s="1"/>
  <c r="P418" i="6"/>
  <c r="O418" i="6"/>
  <c r="Q418" i="6" s="1"/>
  <c r="N418" i="6"/>
  <c r="R418" i="6" s="1"/>
  <c r="P417" i="6"/>
  <c r="O417" i="6"/>
  <c r="Q417" i="6" s="1"/>
  <c r="N417" i="6"/>
  <c r="R417" i="6" s="1"/>
  <c r="P416" i="6"/>
  <c r="O416" i="6"/>
  <c r="Q416" i="6" s="1"/>
  <c r="N416" i="6"/>
  <c r="R416" i="6" s="1"/>
  <c r="Q415" i="6"/>
  <c r="P415" i="6"/>
  <c r="O415" i="6"/>
  <c r="N415" i="6"/>
  <c r="R415" i="6" s="1"/>
  <c r="P414" i="6"/>
  <c r="O414" i="6"/>
  <c r="Q414" i="6" s="1"/>
  <c r="N414" i="6"/>
  <c r="R414" i="6" s="1"/>
  <c r="Q413" i="6"/>
  <c r="P413" i="6"/>
  <c r="O413" i="6"/>
  <c r="N413" i="6"/>
  <c r="R413" i="6" s="1"/>
  <c r="R412" i="6"/>
  <c r="Q412" i="6"/>
  <c r="P412" i="6"/>
  <c r="O412" i="6"/>
  <c r="N412" i="6"/>
  <c r="P411" i="6"/>
  <c r="O411" i="6"/>
  <c r="Q411" i="6" s="1"/>
  <c r="N411" i="6"/>
  <c r="R411" i="6" s="1"/>
  <c r="Q410" i="6"/>
  <c r="P410" i="6"/>
  <c r="O410" i="6"/>
  <c r="N410" i="6"/>
  <c r="R410" i="6" s="1"/>
  <c r="P409" i="6"/>
  <c r="O409" i="6"/>
  <c r="Q409" i="6" s="1"/>
  <c r="N409" i="6"/>
  <c r="R409" i="6" s="1"/>
  <c r="P408" i="6"/>
  <c r="O408" i="6"/>
  <c r="Q408" i="6" s="1"/>
  <c r="N408" i="6"/>
  <c r="R408" i="6" s="1"/>
  <c r="P407" i="6"/>
  <c r="O407" i="6"/>
  <c r="Q407" i="6" s="1"/>
  <c r="N407" i="6"/>
  <c r="R407" i="6" s="1"/>
  <c r="R406" i="6"/>
  <c r="P406" i="6"/>
  <c r="O406" i="6"/>
  <c r="Q406" i="6" s="1"/>
  <c r="N406" i="6"/>
  <c r="P405" i="6"/>
  <c r="O405" i="6"/>
  <c r="Q405" i="6" s="1"/>
  <c r="N405" i="6"/>
  <c r="R405" i="6" s="1"/>
  <c r="R404" i="6"/>
  <c r="Q404" i="6"/>
  <c r="P404" i="6"/>
  <c r="O404" i="6"/>
  <c r="N404" i="6"/>
  <c r="Q403" i="6"/>
  <c r="P403" i="6"/>
  <c r="O403" i="6"/>
  <c r="N403" i="6"/>
  <c r="R403" i="6" s="1"/>
  <c r="R402" i="6"/>
  <c r="Q402" i="6"/>
  <c r="P402" i="6"/>
  <c r="O402" i="6"/>
  <c r="N402" i="6"/>
  <c r="Q401" i="6"/>
  <c r="P401" i="6"/>
  <c r="O401" i="6"/>
  <c r="N401" i="6"/>
  <c r="R401" i="6" s="1"/>
  <c r="R400" i="6"/>
  <c r="P400" i="6"/>
  <c r="O400" i="6"/>
  <c r="Q400" i="6" s="1"/>
  <c r="N400" i="6"/>
  <c r="P399" i="6"/>
  <c r="O399" i="6"/>
  <c r="Q399" i="6" s="1"/>
  <c r="N399" i="6"/>
  <c r="R399" i="6" s="1"/>
  <c r="P398" i="6"/>
  <c r="O398" i="6"/>
  <c r="Q398" i="6" s="1"/>
  <c r="N398" i="6"/>
  <c r="R398" i="6" s="1"/>
  <c r="P397" i="6"/>
  <c r="O397" i="6"/>
  <c r="Q397" i="6" s="1"/>
  <c r="N397" i="6"/>
  <c r="R397" i="6" s="1"/>
  <c r="P396" i="6"/>
  <c r="O396" i="6"/>
  <c r="Q396" i="6" s="1"/>
  <c r="N396" i="6"/>
  <c r="R396" i="6" s="1"/>
  <c r="Q395" i="6"/>
  <c r="P395" i="6"/>
  <c r="O395" i="6"/>
  <c r="N395" i="6"/>
  <c r="R395" i="6" s="1"/>
  <c r="P394" i="6"/>
  <c r="O394" i="6"/>
  <c r="Q394" i="6" s="1"/>
  <c r="N394" i="6"/>
  <c r="R394" i="6" s="1"/>
  <c r="Q393" i="6"/>
  <c r="P393" i="6"/>
  <c r="O393" i="6"/>
  <c r="N393" i="6"/>
  <c r="R393" i="6" s="1"/>
  <c r="R392" i="6"/>
  <c r="Q392" i="6"/>
  <c r="P392" i="6"/>
  <c r="O392" i="6"/>
  <c r="N392" i="6"/>
  <c r="P391" i="6"/>
  <c r="O391" i="6"/>
  <c r="Q391" i="6" s="1"/>
  <c r="N391" i="6"/>
  <c r="R391" i="6" s="1"/>
  <c r="Q390" i="6"/>
  <c r="P390" i="6"/>
  <c r="O390" i="6"/>
  <c r="N390" i="6"/>
  <c r="R390" i="6" s="1"/>
  <c r="P389" i="6"/>
  <c r="O389" i="6"/>
  <c r="Q389" i="6" s="1"/>
  <c r="N389" i="6"/>
  <c r="R389" i="6" s="1"/>
  <c r="P388" i="6"/>
  <c r="O388" i="6"/>
  <c r="Q388" i="6" s="1"/>
  <c r="N388" i="6"/>
  <c r="R388" i="6" s="1"/>
  <c r="P387" i="6"/>
  <c r="O387" i="6"/>
  <c r="Q387" i="6" s="1"/>
  <c r="N387" i="6"/>
  <c r="R387" i="6" s="1"/>
  <c r="R386" i="6"/>
  <c r="P386" i="6"/>
  <c r="O386" i="6"/>
  <c r="Q386" i="6" s="1"/>
  <c r="N386" i="6"/>
  <c r="P385" i="6"/>
  <c r="O385" i="6"/>
  <c r="Q385" i="6" s="1"/>
  <c r="N385" i="6"/>
  <c r="R385" i="6" s="1"/>
  <c r="R384" i="6"/>
  <c r="Q384" i="6"/>
  <c r="P384" i="6"/>
  <c r="O384" i="6"/>
  <c r="N384" i="6"/>
  <c r="Q383" i="6"/>
  <c r="P383" i="6"/>
  <c r="O383" i="6"/>
  <c r="N383" i="6"/>
  <c r="R383" i="6" s="1"/>
  <c r="R382" i="6"/>
  <c r="Q382" i="6"/>
  <c r="P382" i="6"/>
  <c r="O382" i="6"/>
  <c r="N382" i="6"/>
  <c r="Q381" i="6"/>
  <c r="P381" i="6"/>
  <c r="O381" i="6"/>
  <c r="N381" i="6"/>
  <c r="R381" i="6" s="1"/>
  <c r="R380" i="6"/>
  <c r="P380" i="6"/>
  <c r="O380" i="6"/>
  <c r="Q380" i="6" s="1"/>
  <c r="N380" i="6"/>
  <c r="P379" i="6"/>
  <c r="O379" i="6"/>
  <c r="Q379" i="6" s="1"/>
  <c r="N379" i="6"/>
  <c r="R379" i="6" s="1"/>
  <c r="P378" i="6"/>
  <c r="O378" i="6"/>
  <c r="Q378" i="6" s="1"/>
  <c r="N378" i="6"/>
  <c r="R378" i="6" s="1"/>
  <c r="P377" i="6"/>
  <c r="O377" i="6"/>
  <c r="Q377" i="6" s="1"/>
  <c r="N377" i="6"/>
  <c r="R377" i="6" s="1"/>
  <c r="P376" i="6"/>
  <c r="O376" i="6"/>
  <c r="Q376" i="6" s="1"/>
  <c r="N376" i="6"/>
  <c r="R376" i="6" s="1"/>
  <c r="Q375" i="6"/>
  <c r="P375" i="6"/>
  <c r="O375" i="6"/>
  <c r="N375" i="6"/>
  <c r="R375" i="6" s="1"/>
  <c r="P374" i="6"/>
  <c r="O374" i="6"/>
  <c r="Q374" i="6" s="1"/>
  <c r="N374" i="6"/>
  <c r="R374" i="6" s="1"/>
  <c r="Q373" i="6"/>
  <c r="P373" i="6"/>
  <c r="O373" i="6"/>
  <c r="N373" i="6"/>
  <c r="R373" i="6" s="1"/>
  <c r="R372" i="6"/>
  <c r="Q372" i="6"/>
  <c r="P372" i="6"/>
  <c r="O372" i="6"/>
  <c r="N372" i="6"/>
  <c r="P371" i="6"/>
  <c r="O371" i="6"/>
  <c r="Q371" i="6" s="1"/>
  <c r="N371" i="6"/>
  <c r="R371" i="6" s="1"/>
  <c r="Q370" i="6"/>
  <c r="P370" i="6"/>
  <c r="O370" i="6"/>
  <c r="N370" i="6"/>
  <c r="R370" i="6" s="1"/>
  <c r="P369" i="6"/>
  <c r="O369" i="6"/>
  <c r="Q369" i="6" s="1"/>
  <c r="N369" i="6"/>
  <c r="R369" i="6" s="1"/>
  <c r="P368" i="6"/>
  <c r="O368" i="6"/>
  <c r="Q368" i="6" s="1"/>
  <c r="N368" i="6"/>
  <c r="R368" i="6" s="1"/>
  <c r="P367" i="6"/>
  <c r="O367" i="6"/>
  <c r="Q367" i="6" s="1"/>
  <c r="N367" i="6"/>
  <c r="R367" i="6" s="1"/>
  <c r="R366" i="6"/>
  <c r="P366" i="6"/>
  <c r="O366" i="6"/>
  <c r="Q366" i="6" s="1"/>
  <c r="N366" i="6"/>
  <c r="P365" i="6"/>
  <c r="O365" i="6"/>
  <c r="Q365" i="6" s="1"/>
  <c r="N365" i="6"/>
  <c r="R365" i="6" s="1"/>
  <c r="R364" i="6"/>
  <c r="Q364" i="6"/>
  <c r="P364" i="6"/>
  <c r="O364" i="6"/>
  <c r="N364" i="6"/>
  <c r="Q363" i="6"/>
  <c r="P363" i="6"/>
  <c r="O363" i="6"/>
  <c r="N363" i="6"/>
  <c r="R363" i="6" s="1"/>
  <c r="R362" i="6"/>
  <c r="Q362" i="6"/>
  <c r="P362" i="6"/>
  <c r="O362" i="6"/>
  <c r="N362" i="6"/>
  <c r="Q361" i="6"/>
  <c r="P361" i="6"/>
  <c r="O361" i="6"/>
  <c r="N361" i="6"/>
  <c r="R361" i="6" s="1"/>
  <c r="R360" i="6"/>
  <c r="P360" i="6"/>
  <c r="O360" i="6"/>
  <c r="Q360" i="6" s="1"/>
  <c r="N360" i="6"/>
  <c r="P359" i="6"/>
  <c r="O359" i="6"/>
  <c r="Q359" i="6" s="1"/>
  <c r="N359" i="6"/>
  <c r="R359" i="6" s="1"/>
  <c r="P358" i="6"/>
  <c r="O358" i="6"/>
  <c r="Q358" i="6" s="1"/>
  <c r="N358" i="6"/>
  <c r="R358" i="6" s="1"/>
  <c r="P357" i="6"/>
  <c r="O357" i="6"/>
  <c r="Q357" i="6" s="1"/>
  <c r="N357" i="6"/>
  <c r="R357" i="6" s="1"/>
  <c r="P356" i="6"/>
  <c r="O356" i="6"/>
  <c r="Q356" i="6" s="1"/>
  <c r="N356" i="6"/>
  <c r="R356" i="6" s="1"/>
  <c r="Q355" i="6"/>
  <c r="P355" i="6"/>
  <c r="O355" i="6"/>
  <c r="N355" i="6"/>
  <c r="R355" i="6" s="1"/>
  <c r="P354" i="6"/>
  <c r="O354" i="6"/>
  <c r="Q354" i="6" s="1"/>
  <c r="N354" i="6"/>
  <c r="R354" i="6" s="1"/>
  <c r="Q353" i="6"/>
  <c r="P353" i="6"/>
  <c r="O353" i="6"/>
  <c r="N353" i="6"/>
  <c r="R353" i="6" s="1"/>
  <c r="R352" i="6"/>
  <c r="Q352" i="6"/>
  <c r="P352" i="6"/>
  <c r="O352" i="6"/>
  <c r="N352" i="6"/>
  <c r="P351" i="6"/>
  <c r="O351" i="6"/>
  <c r="Q351" i="6" s="1"/>
  <c r="N351" i="6"/>
  <c r="R351" i="6" s="1"/>
  <c r="Q350" i="6"/>
  <c r="P350" i="6"/>
  <c r="O350" i="6"/>
  <c r="N350" i="6"/>
  <c r="R350" i="6" s="1"/>
  <c r="P349" i="6"/>
  <c r="O349" i="6"/>
  <c r="Q349" i="6" s="1"/>
  <c r="N349" i="6"/>
  <c r="R349" i="6" s="1"/>
  <c r="P348" i="6"/>
  <c r="O348" i="6"/>
  <c r="Q348" i="6" s="1"/>
  <c r="N348" i="6"/>
  <c r="R348" i="6" s="1"/>
  <c r="P347" i="6"/>
  <c r="O347" i="6"/>
  <c r="Q347" i="6" s="1"/>
  <c r="N347" i="6"/>
  <c r="R347" i="6" s="1"/>
  <c r="R346" i="6"/>
  <c r="P346" i="6"/>
  <c r="O346" i="6"/>
  <c r="Q346" i="6" s="1"/>
  <c r="N346" i="6"/>
  <c r="P345" i="6"/>
  <c r="O345" i="6"/>
  <c r="Q345" i="6" s="1"/>
  <c r="N345" i="6"/>
  <c r="R345" i="6" s="1"/>
  <c r="R344" i="6"/>
  <c r="Q344" i="6"/>
  <c r="P344" i="6"/>
  <c r="O344" i="6"/>
  <c r="N344" i="6"/>
  <c r="Q343" i="6"/>
  <c r="P343" i="6"/>
  <c r="O343" i="6"/>
  <c r="N343" i="6"/>
  <c r="R343" i="6" s="1"/>
  <c r="R342" i="6"/>
  <c r="Q342" i="6"/>
  <c r="P342" i="6"/>
  <c r="O342" i="6"/>
  <c r="N342" i="6"/>
  <c r="Q341" i="6"/>
  <c r="P341" i="6"/>
  <c r="O341" i="6"/>
  <c r="N341" i="6"/>
  <c r="R341" i="6" s="1"/>
  <c r="R340" i="6"/>
  <c r="P340" i="6"/>
  <c r="O340" i="6"/>
  <c r="Q340" i="6" s="1"/>
  <c r="N340" i="6"/>
  <c r="P339" i="6"/>
  <c r="O339" i="6"/>
  <c r="Q339" i="6" s="1"/>
  <c r="N339" i="6"/>
  <c r="R339" i="6" s="1"/>
  <c r="P338" i="6"/>
  <c r="O338" i="6"/>
  <c r="Q338" i="6" s="1"/>
  <c r="N338" i="6"/>
  <c r="R338" i="6" s="1"/>
  <c r="P337" i="6"/>
  <c r="O337" i="6"/>
  <c r="Q337" i="6" s="1"/>
  <c r="N337" i="6"/>
  <c r="R337" i="6" s="1"/>
  <c r="P336" i="6"/>
  <c r="O336" i="6"/>
  <c r="Q336" i="6" s="1"/>
  <c r="N336" i="6"/>
  <c r="R336" i="6" s="1"/>
  <c r="Q335" i="6"/>
  <c r="P335" i="6"/>
  <c r="O335" i="6"/>
  <c r="N335" i="6"/>
  <c r="R335" i="6" s="1"/>
  <c r="R334" i="6"/>
  <c r="P334" i="6"/>
  <c r="O334" i="6"/>
  <c r="Q334" i="6" s="1"/>
  <c r="N334" i="6"/>
  <c r="Q333" i="6"/>
  <c r="P333" i="6"/>
  <c r="O333" i="6"/>
  <c r="N333" i="6"/>
  <c r="R333" i="6" s="1"/>
  <c r="R332" i="6"/>
  <c r="Q332" i="6"/>
  <c r="P332" i="6"/>
  <c r="O332" i="6"/>
  <c r="N332" i="6"/>
  <c r="P331" i="6"/>
  <c r="O331" i="6"/>
  <c r="Q331" i="6" s="1"/>
  <c r="N331" i="6"/>
  <c r="R331" i="6" s="1"/>
  <c r="Q330" i="6"/>
  <c r="P330" i="6"/>
  <c r="O330" i="6"/>
  <c r="N330" i="6"/>
  <c r="R330" i="6" s="1"/>
  <c r="P329" i="6"/>
  <c r="O329" i="6"/>
  <c r="Q329" i="6" s="1"/>
  <c r="N329" i="6"/>
  <c r="R329" i="6" s="1"/>
  <c r="P328" i="6"/>
  <c r="O328" i="6"/>
  <c r="Q328" i="6" s="1"/>
  <c r="N328" i="6"/>
  <c r="R328" i="6" s="1"/>
  <c r="P327" i="6"/>
  <c r="O327" i="6"/>
  <c r="Q327" i="6" s="1"/>
  <c r="N327" i="6"/>
  <c r="R327" i="6" s="1"/>
  <c r="R326" i="6"/>
  <c r="P326" i="6"/>
  <c r="O326" i="6"/>
  <c r="Q326" i="6" s="1"/>
  <c r="N326" i="6"/>
  <c r="P325" i="6"/>
  <c r="O325" i="6"/>
  <c r="Q325" i="6" s="1"/>
  <c r="N325" i="6"/>
  <c r="R325" i="6" s="1"/>
  <c r="R324" i="6"/>
  <c r="Q324" i="6"/>
  <c r="P324" i="6"/>
  <c r="O324" i="6"/>
  <c r="N324" i="6"/>
  <c r="Q323" i="6"/>
  <c r="P323" i="6"/>
  <c r="O323" i="6"/>
  <c r="N323" i="6"/>
  <c r="R323" i="6" s="1"/>
  <c r="R322" i="6"/>
  <c r="Q322" i="6"/>
  <c r="P322" i="6"/>
  <c r="O322" i="6"/>
  <c r="N322" i="6"/>
  <c r="Q321" i="6"/>
  <c r="P321" i="6"/>
  <c r="O321" i="6"/>
  <c r="N321" i="6"/>
  <c r="R321" i="6" s="1"/>
  <c r="R320" i="6"/>
  <c r="P320" i="6"/>
  <c r="O320" i="6"/>
  <c r="Q320" i="6" s="1"/>
  <c r="N320" i="6"/>
  <c r="P319" i="6"/>
  <c r="O319" i="6"/>
  <c r="Q319" i="6" s="1"/>
  <c r="N319" i="6"/>
  <c r="R319" i="6" s="1"/>
  <c r="P318" i="6"/>
  <c r="O318" i="6"/>
  <c r="Q318" i="6" s="1"/>
  <c r="N318" i="6"/>
  <c r="R318" i="6" s="1"/>
  <c r="P317" i="6"/>
  <c r="O317" i="6"/>
  <c r="Q317" i="6" s="1"/>
  <c r="N317" i="6"/>
  <c r="R317" i="6" s="1"/>
  <c r="P316" i="6"/>
  <c r="O316" i="6"/>
  <c r="Q316" i="6" s="1"/>
  <c r="N316" i="6"/>
  <c r="R316" i="6" s="1"/>
  <c r="Q315" i="6"/>
  <c r="P315" i="6"/>
  <c r="O315" i="6"/>
  <c r="N315" i="6"/>
  <c r="R315" i="6" s="1"/>
  <c r="R314" i="6"/>
  <c r="P314" i="6"/>
  <c r="O314" i="6"/>
  <c r="Q314" i="6" s="1"/>
  <c r="N314" i="6"/>
  <c r="Q313" i="6"/>
  <c r="P313" i="6"/>
  <c r="O313" i="6"/>
  <c r="N313" i="6"/>
  <c r="R313" i="6" s="1"/>
  <c r="R312" i="6"/>
  <c r="Q312" i="6"/>
  <c r="P312" i="6"/>
  <c r="O312" i="6"/>
  <c r="N312" i="6"/>
  <c r="P311" i="6"/>
  <c r="O311" i="6"/>
  <c r="Q311" i="6" s="1"/>
  <c r="N311" i="6"/>
  <c r="R311" i="6" s="1"/>
  <c r="R310" i="6"/>
  <c r="Q310" i="6"/>
  <c r="P310" i="6"/>
  <c r="O310" i="6"/>
  <c r="N310" i="6"/>
  <c r="P309" i="6"/>
  <c r="O309" i="6"/>
  <c r="Q309" i="6" s="1"/>
  <c r="N309" i="6"/>
  <c r="R309" i="6" s="1"/>
  <c r="P308" i="6"/>
  <c r="O308" i="6"/>
  <c r="Q308" i="6" s="1"/>
  <c r="N308" i="6"/>
  <c r="R308" i="6" s="1"/>
  <c r="P307" i="6"/>
  <c r="O307" i="6"/>
  <c r="Q307" i="6" s="1"/>
  <c r="N307" i="6"/>
  <c r="R307" i="6" s="1"/>
  <c r="R306" i="6"/>
  <c r="P306" i="6"/>
  <c r="O306" i="6"/>
  <c r="Q306" i="6" s="1"/>
  <c r="N306" i="6"/>
  <c r="P305" i="6"/>
  <c r="O305" i="6"/>
  <c r="Q305" i="6" s="1"/>
  <c r="N305" i="6"/>
  <c r="R305" i="6" s="1"/>
  <c r="R304" i="6"/>
  <c r="Q304" i="6"/>
  <c r="P304" i="6"/>
  <c r="O304" i="6"/>
  <c r="N304" i="6"/>
  <c r="Q303" i="6"/>
  <c r="P303" i="6"/>
  <c r="O303" i="6"/>
  <c r="N303" i="6"/>
  <c r="R303" i="6" s="1"/>
  <c r="R302" i="6"/>
  <c r="Q302" i="6"/>
  <c r="P302" i="6"/>
  <c r="O302" i="6"/>
  <c r="N302" i="6"/>
  <c r="Q301" i="6"/>
  <c r="P301" i="6"/>
  <c r="O301" i="6"/>
  <c r="N301" i="6"/>
  <c r="R301" i="6" s="1"/>
  <c r="R300" i="6"/>
  <c r="P300" i="6"/>
  <c r="O300" i="6"/>
  <c r="Q300" i="6" s="1"/>
  <c r="N300" i="6"/>
  <c r="P299" i="6"/>
  <c r="O299" i="6"/>
  <c r="Q299" i="6" s="1"/>
  <c r="N299" i="6"/>
  <c r="R299" i="6" s="1"/>
  <c r="P298" i="6"/>
  <c r="O298" i="6"/>
  <c r="Q298" i="6" s="1"/>
  <c r="N298" i="6"/>
  <c r="R298" i="6" s="1"/>
  <c r="P297" i="6"/>
  <c r="O297" i="6"/>
  <c r="Q297" i="6" s="1"/>
  <c r="N297" i="6"/>
  <c r="R297" i="6" s="1"/>
  <c r="P296" i="6"/>
  <c r="O296" i="6"/>
  <c r="Q296" i="6" s="1"/>
  <c r="N296" i="6"/>
  <c r="R296" i="6" s="1"/>
  <c r="Q295" i="6"/>
  <c r="P295" i="6"/>
  <c r="O295" i="6"/>
  <c r="N295" i="6"/>
  <c r="R295" i="6" s="1"/>
  <c r="R294" i="6"/>
  <c r="P294" i="6"/>
  <c r="O294" i="6"/>
  <c r="Q294" i="6" s="1"/>
  <c r="N294" i="6"/>
  <c r="Q293" i="6"/>
  <c r="P293" i="6"/>
  <c r="O293" i="6"/>
  <c r="N293" i="6"/>
  <c r="R293" i="6" s="1"/>
  <c r="R292" i="6"/>
  <c r="Q292" i="6"/>
  <c r="P292" i="6"/>
  <c r="O292" i="6"/>
  <c r="N292" i="6"/>
  <c r="P291" i="6"/>
  <c r="O291" i="6"/>
  <c r="Q291" i="6" s="1"/>
  <c r="N291" i="6"/>
  <c r="R291" i="6" s="1"/>
  <c r="R290" i="6"/>
  <c r="Q290" i="6"/>
  <c r="P290" i="6"/>
  <c r="O290" i="6"/>
  <c r="N290" i="6"/>
  <c r="P289" i="6"/>
  <c r="O289" i="6"/>
  <c r="Q289" i="6" s="1"/>
  <c r="N289" i="6"/>
  <c r="R289" i="6" s="1"/>
  <c r="P288" i="6"/>
  <c r="O288" i="6"/>
  <c r="Q288" i="6" s="1"/>
  <c r="N288" i="6"/>
  <c r="R288" i="6" s="1"/>
  <c r="P287" i="6"/>
  <c r="O287" i="6"/>
  <c r="Q287" i="6" s="1"/>
  <c r="N287" i="6"/>
  <c r="R287" i="6" s="1"/>
  <c r="R286" i="6"/>
  <c r="P286" i="6"/>
  <c r="O286" i="6"/>
  <c r="Q286" i="6" s="1"/>
  <c r="N286" i="6"/>
  <c r="P285" i="6"/>
  <c r="O285" i="6"/>
  <c r="Q285" i="6" s="1"/>
  <c r="N285" i="6"/>
  <c r="R285" i="6" s="1"/>
  <c r="R284" i="6"/>
  <c r="Q284" i="6"/>
  <c r="P284" i="6"/>
  <c r="O284" i="6"/>
  <c r="N284" i="6"/>
  <c r="Q283" i="6"/>
  <c r="P283" i="6"/>
  <c r="O283" i="6"/>
  <c r="N283" i="6"/>
  <c r="R283" i="6" s="1"/>
  <c r="R282" i="6"/>
  <c r="Q282" i="6"/>
  <c r="P282" i="6"/>
  <c r="O282" i="6"/>
  <c r="N282" i="6"/>
  <c r="Q281" i="6"/>
  <c r="P281" i="6"/>
  <c r="O281" i="6"/>
  <c r="N281" i="6"/>
  <c r="R281" i="6" s="1"/>
  <c r="R280" i="6"/>
  <c r="P280" i="6"/>
  <c r="O280" i="6"/>
  <c r="Q280" i="6" s="1"/>
  <c r="N280" i="6"/>
  <c r="P279" i="6"/>
  <c r="O279" i="6"/>
  <c r="Q279" i="6" s="1"/>
  <c r="N279" i="6"/>
  <c r="R279" i="6" s="1"/>
  <c r="P278" i="6"/>
  <c r="O278" i="6"/>
  <c r="Q278" i="6" s="1"/>
  <c r="N278" i="6"/>
  <c r="R278" i="6" s="1"/>
  <c r="P277" i="6"/>
  <c r="O277" i="6"/>
  <c r="Q277" i="6" s="1"/>
  <c r="N277" i="6"/>
  <c r="R277" i="6" s="1"/>
  <c r="P276" i="6"/>
  <c r="O276" i="6"/>
  <c r="Q276" i="6" s="1"/>
  <c r="N276" i="6"/>
  <c r="R276" i="6" s="1"/>
  <c r="Q275" i="6"/>
  <c r="P275" i="6"/>
  <c r="O275" i="6"/>
  <c r="N275" i="6"/>
  <c r="R275" i="6" s="1"/>
  <c r="R274" i="6"/>
  <c r="P274" i="6"/>
  <c r="O274" i="6"/>
  <c r="Q274" i="6" s="1"/>
  <c r="N274" i="6"/>
  <c r="Q273" i="6"/>
  <c r="P273" i="6"/>
  <c r="O273" i="6"/>
  <c r="N273" i="6"/>
  <c r="R273" i="6" s="1"/>
  <c r="R272" i="6"/>
  <c r="Q272" i="6"/>
  <c r="P272" i="6"/>
  <c r="O272" i="6"/>
  <c r="N272" i="6"/>
  <c r="P271" i="6"/>
  <c r="O271" i="6"/>
  <c r="Q271" i="6" s="1"/>
  <c r="N271" i="6"/>
  <c r="R271" i="6" s="1"/>
  <c r="Q270" i="6"/>
  <c r="P270" i="6"/>
  <c r="O270" i="6"/>
  <c r="N270" i="6"/>
  <c r="R270" i="6" s="1"/>
  <c r="P269" i="6"/>
  <c r="O269" i="6"/>
  <c r="Q269" i="6" s="1"/>
  <c r="N269" i="6"/>
  <c r="R269" i="6" s="1"/>
  <c r="P268" i="6"/>
  <c r="O268" i="6"/>
  <c r="Q268" i="6" s="1"/>
  <c r="N268" i="6"/>
  <c r="R268" i="6" s="1"/>
  <c r="P267" i="6"/>
  <c r="O267" i="6"/>
  <c r="Q267" i="6" s="1"/>
  <c r="N267" i="6"/>
  <c r="R267" i="6" s="1"/>
  <c r="R266" i="6"/>
  <c r="P266" i="6"/>
  <c r="O266" i="6"/>
  <c r="Q266" i="6" s="1"/>
  <c r="N266" i="6"/>
  <c r="P265" i="6"/>
  <c r="O265" i="6"/>
  <c r="Q265" i="6" s="1"/>
  <c r="N265" i="6"/>
  <c r="R265" i="6" s="1"/>
  <c r="R264" i="6"/>
  <c r="Q264" i="6"/>
  <c r="P264" i="6"/>
  <c r="O264" i="6"/>
  <c r="N264" i="6"/>
  <c r="Q263" i="6"/>
  <c r="P263" i="6"/>
  <c r="O263" i="6"/>
  <c r="N263" i="6"/>
  <c r="R263" i="6" s="1"/>
  <c r="R262" i="6"/>
  <c r="Q262" i="6"/>
  <c r="P262" i="6"/>
  <c r="O262" i="6"/>
  <c r="N262" i="6"/>
  <c r="Q261" i="6"/>
  <c r="P261" i="6"/>
  <c r="O261" i="6"/>
  <c r="N261" i="6"/>
  <c r="R261" i="6" s="1"/>
  <c r="R260" i="6"/>
  <c r="P260" i="6"/>
  <c r="O260" i="6"/>
  <c r="Q260" i="6" s="1"/>
  <c r="N260" i="6"/>
  <c r="P259" i="6"/>
  <c r="O259" i="6"/>
  <c r="Q259" i="6" s="1"/>
  <c r="N259" i="6"/>
  <c r="R259" i="6" s="1"/>
  <c r="P258" i="6"/>
  <c r="O258" i="6"/>
  <c r="Q258" i="6" s="1"/>
  <c r="N258" i="6"/>
  <c r="R258" i="6" s="1"/>
  <c r="P257" i="6"/>
  <c r="O257" i="6"/>
  <c r="Q257" i="6" s="1"/>
  <c r="N257" i="6"/>
  <c r="R257" i="6" s="1"/>
  <c r="P256" i="6"/>
  <c r="O256" i="6"/>
  <c r="Q256" i="6" s="1"/>
  <c r="N256" i="6"/>
  <c r="R256" i="6" s="1"/>
  <c r="Q255" i="6"/>
  <c r="P255" i="6"/>
  <c r="O255" i="6"/>
  <c r="N255" i="6"/>
  <c r="R255" i="6" s="1"/>
  <c r="R254" i="6"/>
  <c r="P254" i="6"/>
  <c r="O254" i="6"/>
  <c r="Q254" i="6" s="1"/>
  <c r="N254" i="6"/>
  <c r="Q253" i="6"/>
  <c r="P253" i="6"/>
  <c r="O253" i="6"/>
  <c r="N253" i="6"/>
  <c r="R253" i="6" s="1"/>
  <c r="R252" i="6"/>
  <c r="Q252" i="6"/>
  <c r="P252" i="6"/>
  <c r="O252" i="6"/>
  <c r="N252" i="6"/>
  <c r="P251" i="6"/>
  <c r="O251" i="6"/>
  <c r="Q251" i="6" s="1"/>
  <c r="N251" i="6"/>
  <c r="R251" i="6" s="1"/>
  <c r="R250" i="6"/>
  <c r="Q250" i="6"/>
  <c r="P250" i="6"/>
  <c r="O250" i="6"/>
  <c r="N250" i="6"/>
  <c r="P249" i="6"/>
  <c r="O249" i="6"/>
  <c r="Q249" i="6" s="1"/>
  <c r="N249" i="6"/>
  <c r="R249" i="6" s="1"/>
  <c r="P248" i="6"/>
  <c r="O248" i="6"/>
  <c r="Q248" i="6" s="1"/>
  <c r="N248" i="6"/>
  <c r="R248" i="6" s="1"/>
  <c r="P247" i="6"/>
  <c r="O247" i="6"/>
  <c r="Q247" i="6" s="1"/>
  <c r="N247" i="6"/>
  <c r="R247" i="6" s="1"/>
  <c r="R246" i="6"/>
  <c r="P246" i="6"/>
  <c r="O246" i="6"/>
  <c r="Q246" i="6" s="1"/>
  <c r="N246" i="6"/>
  <c r="P245" i="6"/>
  <c r="O245" i="6"/>
  <c r="Q245" i="6" s="1"/>
  <c r="N245" i="6"/>
  <c r="R245" i="6" s="1"/>
  <c r="R244" i="6"/>
  <c r="Q244" i="6"/>
  <c r="P244" i="6"/>
  <c r="O244" i="6"/>
  <c r="N244" i="6"/>
  <c r="Q243" i="6"/>
  <c r="P243" i="6"/>
  <c r="O243" i="6"/>
  <c r="N243" i="6"/>
  <c r="R243" i="6" s="1"/>
  <c r="R242" i="6"/>
  <c r="Q242" i="6"/>
  <c r="P242" i="6"/>
  <c r="O242" i="6"/>
  <c r="N242" i="6"/>
  <c r="Q241" i="6"/>
  <c r="P241" i="6"/>
  <c r="O241" i="6"/>
  <c r="N241" i="6"/>
  <c r="R241" i="6" s="1"/>
  <c r="R240" i="6"/>
  <c r="P240" i="6"/>
  <c r="O240" i="6"/>
  <c r="Q240" i="6" s="1"/>
  <c r="N240" i="6"/>
  <c r="P239" i="6"/>
  <c r="O239" i="6"/>
  <c r="Q239" i="6" s="1"/>
  <c r="N239" i="6"/>
  <c r="R239" i="6" s="1"/>
  <c r="P238" i="6"/>
  <c r="O238" i="6"/>
  <c r="Q238" i="6" s="1"/>
  <c r="N238" i="6"/>
  <c r="R238" i="6" s="1"/>
  <c r="P237" i="6"/>
  <c r="O237" i="6"/>
  <c r="Q237" i="6" s="1"/>
  <c r="N237" i="6"/>
  <c r="R237" i="6" s="1"/>
  <c r="P236" i="6"/>
  <c r="O236" i="6"/>
  <c r="Q236" i="6" s="1"/>
  <c r="N236" i="6"/>
  <c r="R236" i="6" s="1"/>
  <c r="Q235" i="6"/>
  <c r="P235" i="6"/>
  <c r="O235" i="6"/>
  <c r="N235" i="6"/>
  <c r="R235" i="6" s="1"/>
  <c r="R234" i="6"/>
  <c r="P234" i="6"/>
  <c r="O234" i="6"/>
  <c r="Q234" i="6" s="1"/>
  <c r="N234" i="6"/>
  <c r="Q233" i="6"/>
  <c r="P233" i="6"/>
  <c r="O233" i="6"/>
  <c r="N233" i="6"/>
  <c r="R233" i="6" s="1"/>
  <c r="R232" i="6"/>
  <c r="Q232" i="6"/>
  <c r="P232" i="6"/>
  <c r="O232" i="6"/>
  <c r="N232" i="6"/>
  <c r="P231" i="6"/>
  <c r="O231" i="6"/>
  <c r="Q231" i="6" s="1"/>
  <c r="N231" i="6"/>
  <c r="R231" i="6" s="1"/>
  <c r="R230" i="6"/>
  <c r="Q230" i="6"/>
  <c r="P230" i="6"/>
  <c r="O230" i="6"/>
  <c r="N230" i="6"/>
  <c r="P229" i="6"/>
  <c r="O229" i="6"/>
  <c r="Q229" i="6" s="1"/>
  <c r="N229" i="6"/>
  <c r="R229" i="6" s="1"/>
  <c r="P228" i="6"/>
  <c r="O228" i="6"/>
  <c r="Q228" i="6" s="1"/>
  <c r="N228" i="6"/>
  <c r="R228" i="6" s="1"/>
  <c r="P227" i="6"/>
  <c r="O227" i="6"/>
  <c r="Q227" i="6" s="1"/>
  <c r="N227" i="6"/>
  <c r="R227" i="6" s="1"/>
  <c r="R226" i="6"/>
  <c r="P226" i="6"/>
  <c r="O226" i="6"/>
  <c r="Q226" i="6" s="1"/>
  <c r="N226" i="6"/>
  <c r="P225" i="6"/>
  <c r="O225" i="6"/>
  <c r="Q225" i="6" s="1"/>
  <c r="N225" i="6"/>
  <c r="R225" i="6" s="1"/>
  <c r="R224" i="6"/>
  <c r="Q224" i="6"/>
  <c r="P224" i="6"/>
  <c r="O224" i="6"/>
  <c r="N224" i="6"/>
  <c r="Q223" i="6"/>
  <c r="P223" i="6"/>
  <c r="O223" i="6"/>
  <c r="N223" i="6"/>
  <c r="R223" i="6" s="1"/>
  <c r="R222" i="6"/>
  <c r="Q222" i="6"/>
  <c r="P222" i="6"/>
  <c r="O222" i="6"/>
  <c r="N222" i="6"/>
  <c r="Q221" i="6"/>
  <c r="P221" i="6"/>
  <c r="O221" i="6"/>
  <c r="N221" i="6"/>
  <c r="R221" i="6" s="1"/>
  <c r="R220" i="6"/>
  <c r="P220" i="6"/>
  <c r="O220" i="6"/>
  <c r="Q220" i="6" s="1"/>
  <c r="N220" i="6"/>
  <c r="P219" i="6"/>
  <c r="O219" i="6"/>
  <c r="Q219" i="6" s="1"/>
  <c r="N219" i="6"/>
  <c r="R219" i="6" s="1"/>
  <c r="P218" i="6"/>
  <c r="O218" i="6"/>
  <c r="Q218" i="6" s="1"/>
  <c r="N218" i="6"/>
  <c r="R218" i="6" s="1"/>
  <c r="P217" i="6"/>
  <c r="O217" i="6"/>
  <c r="Q217" i="6" s="1"/>
  <c r="N217" i="6"/>
  <c r="R217" i="6" s="1"/>
  <c r="P216" i="6"/>
  <c r="O216" i="6"/>
  <c r="Q216" i="6" s="1"/>
  <c r="N216" i="6"/>
  <c r="R216" i="6" s="1"/>
  <c r="Q215" i="6"/>
  <c r="P215" i="6"/>
  <c r="O215" i="6"/>
  <c r="N215" i="6"/>
  <c r="R215" i="6" s="1"/>
  <c r="R214" i="6"/>
  <c r="P214" i="6"/>
  <c r="O214" i="6"/>
  <c r="Q214" i="6" s="1"/>
  <c r="N214" i="6"/>
  <c r="Q213" i="6"/>
  <c r="P213" i="6"/>
  <c r="O213" i="6"/>
  <c r="N213" i="6"/>
  <c r="R213" i="6" s="1"/>
  <c r="R212" i="6"/>
  <c r="Q212" i="6"/>
  <c r="P212" i="6"/>
  <c r="O212" i="6"/>
  <c r="N212" i="6"/>
  <c r="P211" i="6"/>
  <c r="O211" i="6"/>
  <c r="Q211" i="6" s="1"/>
  <c r="N211" i="6"/>
  <c r="R211" i="6" s="1"/>
  <c r="Q210" i="6"/>
  <c r="P210" i="6"/>
  <c r="O210" i="6"/>
  <c r="N210" i="6"/>
  <c r="R210" i="6" s="1"/>
  <c r="P209" i="6"/>
  <c r="O209" i="6"/>
  <c r="Q209" i="6" s="1"/>
  <c r="N209" i="6"/>
  <c r="R209" i="6" s="1"/>
  <c r="P208" i="6"/>
  <c r="O208" i="6"/>
  <c r="Q208" i="6" s="1"/>
  <c r="N208" i="6"/>
  <c r="R208" i="6" s="1"/>
  <c r="P207" i="6"/>
  <c r="O207" i="6"/>
  <c r="Q207" i="6" s="1"/>
  <c r="N207" i="6"/>
  <c r="R207" i="6" s="1"/>
  <c r="R206" i="6"/>
  <c r="P206" i="6"/>
  <c r="O206" i="6"/>
  <c r="Q206" i="6" s="1"/>
  <c r="N206" i="6"/>
  <c r="P205" i="6"/>
  <c r="O205" i="6"/>
  <c r="Q205" i="6" s="1"/>
  <c r="N205" i="6"/>
  <c r="R205" i="6" s="1"/>
  <c r="R204" i="6"/>
  <c r="Q204" i="6"/>
  <c r="P204" i="6"/>
  <c r="O204" i="6"/>
  <c r="N204" i="6"/>
  <c r="Q203" i="6"/>
  <c r="P203" i="6"/>
  <c r="O203" i="6"/>
  <c r="N203" i="6"/>
  <c r="R203" i="6" s="1"/>
  <c r="R202" i="6"/>
  <c r="Q202" i="6"/>
  <c r="P202" i="6"/>
  <c r="O202" i="6"/>
  <c r="N202" i="6"/>
  <c r="Q201" i="6"/>
  <c r="P201" i="6"/>
  <c r="O201" i="6"/>
  <c r="N201" i="6"/>
  <c r="R201" i="6" s="1"/>
  <c r="R200" i="6"/>
  <c r="P200" i="6"/>
  <c r="O200" i="6"/>
  <c r="Q200" i="6" s="1"/>
  <c r="N200" i="6"/>
  <c r="P199" i="6"/>
  <c r="O199" i="6"/>
  <c r="Q199" i="6" s="1"/>
  <c r="N199" i="6"/>
  <c r="R199" i="6" s="1"/>
  <c r="P198" i="6"/>
  <c r="O198" i="6"/>
  <c r="Q198" i="6" s="1"/>
  <c r="N198" i="6"/>
  <c r="R198" i="6" s="1"/>
  <c r="P197" i="6"/>
  <c r="O197" i="6"/>
  <c r="Q197" i="6" s="1"/>
  <c r="N197" i="6"/>
  <c r="R197" i="6" s="1"/>
  <c r="P196" i="6"/>
  <c r="O196" i="6"/>
  <c r="Q196" i="6" s="1"/>
  <c r="N196" i="6"/>
  <c r="R196" i="6" s="1"/>
  <c r="Q195" i="6"/>
  <c r="P195" i="6"/>
  <c r="O195" i="6"/>
  <c r="N195" i="6"/>
  <c r="R195" i="6" s="1"/>
  <c r="R194" i="6"/>
  <c r="P194" i="6"/>
  <c r="O194" i="6"/>
  <c r="Q194" i="6" s="1"/>
  <c r="N194" i="6"/>
  <c r="Q193" i="6"/>
  <c r="P193" i="6"/>
  <c r="O193" i="6"/>
  <c r="N193" i="6"/>
  <c r="R193" i="6" s="1"/>
  <c r="R192" i="6"/>
  <c r="Q192" i="6"/>
  <c r="P192" i="6"/>
  <c r="O192" i="6"/>
  <c r="N192" i="6"/>
  <c r="P191" i="6"/>
  <c r="O191" i="6"/>
  <c r="Q191" i="6" s="1"/>
  <c r="N191" i="6"/>
  <c r="R191" i="6" s="1"/>
  <c r="Q190" i="6"/>
  <c r="P190" i="6"/>
  <c r="O190" i="6"/>
  <c r="N190" i="6"/>
  <c r="R190" i="6" s="1"/>
  <c r="P189" i="6"/>
  <c r="O189" i="6"/>
  <c r="Q189" i="6" s="1"/>
  <c r="N189" i="6"/>
  <c r="R189" i="6" s="1"/>
  <c r="P188" i="6"/>
  <c r="O188" i="6"/>
  <c r="Q188" i="6" s="1"/>
  <c r="N188" i="6"/>
  <c r="R188" i="6" s="1"/>
  <c r="P187" i="6"/>
  <c r="O187" i="6"/>
  <c r="Q187" i="6" s="1"/>
  <c r="N187" i="6"/>
  <c r="R187" i="6" s="1"/>
  <c r="R186" i="6"/>
  <c r="P186" i="6"/>
  <c r="O186" i="6"/>
  <c r="Q186" i="6" s="1"/>
  <c r="N186" i="6"/>
  <c r="P185" i="6"/>
  <c r="O185" i="6"/>
  <c r="Q185" i="6" s="1"/>
  <c r="N185" i="6"/>
  <c r="R185" i="6" s="1"/>
  <c r="R184" i="6"/>
  <c r="Q184" i="6"/>
  <c r="P184" i="6"/>
  <c r="O184" i="6"/>
  <c r="N184" i="6"/>
  <c r="Q183" i="6"/>
  <c r="P183" i="6"/>
  <c r="O183" i="6"/>
  <c r="N183" i="6"/>
  <c r="R183" i="6" s="1"/>
  <c r="R182" i="6"/>
  <c r="Q182" i="6"/>
  <c r="P182" i="6"/>
  <c r="O182" i="6"/>
  <c r="N182" i="6"/>
  <c r="Q181" i="6"/>
  <c r="P181" i="6"/>
  <c r="O181" i="6"/>
  <c r="N181" i="6"/>
  <c r="R181" i="6" s="1"/>
  <c r="R180" i="6"/>
  <c r="P180" i="6"/>
  <c r="O180" i="6"/>
  <c r="Q180" i="6" s="1"/>
  <c r="N180" i="6"/>
  <c r="P179" i="6"/>
  <c r="O179" i="6"/>
  <c r="Q179" i="6" s="1"/>
  <c r="N179" i="6"/>
  <c r="R179" i="6" s="1"/>
  <c r="P178" i="6"/>
  <c r="O178" i="6"/>
  <c r="Q178" i="6" s="1"/>
  <c r="N178" i="6"/>
  <c r="R178" i="6" s="1"/>
  <c r="P177" i="6"/>
  <c r="O177" i="6"/>
  <c r="Q177" i="6" s="1"/>
  <c r="N177" i="6"/>
  <c r="R177" i="6" s="1"/>
  <c r="P176" i="6"/>
  <c r="O176" i="6"/>
  <c r="Q176" i="6" s="1"/>
  <c r="N176" i="6"/>
  <c r="R176" i="6" s="1"/>
  <c r="Q175" i="6"/>
  <c r="P175" i="6"/>
  <c r="O175" i="6"/>
  <c r="N175" i="6"/>
  <c r="R175" i="6" s="1"/>
  <c r="R174" i="6"/>
  <c r="P174" i="6"/>
  <c r="O174" i="6"/>
  <c r="Q174" i="6" s="1"/>
  <c r="N174" i="6"/>
  <c r="Q173" i="6"/>
  <c r="P173" i="6"/>
  <c r="O173" i="6"/>
  <c r="N173" i="6"/>
  <c r="R173" i="6" s="1"/>
  <c r="R172" i="6"/>
  <c r="Q172" i="6"/>
  <c r="P172" i="6"/>
  <c r="O172" i="6"/>
  <c r="N172" i="6"/>
  <c r="P171" i="6"/>
  <c r="O171" i="6"/>
  <c r="Q171" i="6" s="1"/>
  <c r="N171" i="6"/>
  <c r="R171" i="6" s="1"/>
  <c r="Q170" i="6"/>
  <c r="P170" i="6"/>
  <c r="O170" i="6"/>
  <c r="N170" i="6"/>
  <c r="R170" i="6" s="1"/>
  <c r="P169" i="6"/>
  <c r="O169" i="6"/>
  <c r="Q169" i="6" s="1"/>
  <c r="N169" i="6"/>
  <c r="R169" i="6" s="1"/>
  <c r="P168" i="6"/>
  <c r="O168" i="6"/>
  <c r="Q168" i="6" s="1"/>
  <c r="N168" i="6"/>
  <c r="R168" i="6" s="1"/>
  <c r="P167" i="6"/>
  <c r="O167" i="6"/>
  <c r="Q167" i="6" s="1"/>
  <c r="N167" i="6"/>
  <c r="R167" i="6" s="1"/>
  <c r="R166" i="6"/>
  <c r="P166" i="6"/>
  <c r="O166" i="6"/>
  <c r="Q166" i="6" s="1"/>
  <c r="N166" i="6"/>
  <c r="P165" i="6"/>
  <c r="O165" i="6"/>
  <c r="Q165" i="6" s="1"/>
  <c r="N165" i="6"/>
  <c r="R165" i="6" s="1"/>
  <c r="R164" i="6"/>
  <c r="Q164" i="6"/>
  <c r="P164" i="6"/>
  <c r="O164" i="6"/>
  <c r="N164" i="6"/>
  <c r="Q163" i="6"/>
  <c r="P163" i="6"/>
  <c r="O163" i="6"/>
  <c r="N163" i="6"/>
  <c r="R163" i="6" s="1"/>
  <c r="R162" i="6"/>
  <c r="Q162" i="6"/>
  <c r="P162" i="6"/>
  <c r="O162" i="6"/>
  <c r="N162" i="6"/>
  <c r="Q161" i="6"/>
  <c r="P161" i="6"/>
  <c r="O161" i="6"/>
  <c r="N161" i="6"/>
  <c r="R161" i="6" s="1"/>
  <c r="R160" i="6"/>
  <c r="P160" i="6"/>
  <c r="O160" i="6"/>
  <c r="Q160" i="6" s="1"/>
  <c r="N160" i="6"/>
  <c r="P159" i="6"/>
  <c r="O159" i="6"/>
  <c r="Q159" i="6" s="1"/>
  <c r="N159" i="6"/>
  <c r="R159" i="6" s="1"/>
  <c r="P158" i="6"/>
  <c r="O158" i="6"/>
  <c r="Q158" i="6" s="1"/>
  <c r="N158" i="6"/>
  <c r="R158" i="6" s="1"/>
  <c r="P157" i="6"/>
  <c r="O157" i="6"/>
  <c r="Q157" i="6" s="1"/>
  <c r="N157" i="6"/>
  <c r="R157" i="6" s="1"/>
  <c r="P156" i="6"/>
  <c r="O156" i="6"/>
  <c r="Q156" i="6" s="1"/>
  <c r="N156" i="6"/>
  <c r="R156" i="6" s="1"/>
  <c r="Q155" i="6"/>
  <c r="P155" i="6"/>
  <c r="O155" i="6"/>
  <c r="N155" i="6"/>
  <c r="R155" i="6" s="1"/>
  <c r="R154" i="6"/>
  <c r="P154" i="6"/>
  <c r="O154" i="6"/>
  <c r="Q154" i="6" s="1"/>
  <c r="N154" i="6"/>
  <c r="Q153" i="6"/>
  <c r="P153" i="6"/>
  <c r="O153" i="6"/>
  <c r="N153" i="6"/>
  <c r="R153" i="6" s="1"/>
  <c r="R152" i="6"/>
  <c r="Q152" i="6"/>
  <c r="P152" i="6"/>
  <c r="O152" i="6"/>
  <c r="N152" i="6"/>
  <c r="P151" i="6"/>
  <c r="O151" i="6"/>
  <c r="Q151" i="6" s="1"/>
  <c r="N151" i="6"/>
  <c r="R151" i="6" s="1"/>
  <c r="Q150" i="6"/>
  <c r="P150" i="6"/>
  <c r="O150" i="6"/>
  <c r="N150" i="6"/>
  <c r="R150" i="6" s="1"/>
  <c r="P149" i="6"/>
  <c r="O149" i="6"/>
  <c r="Q149" i="6" s="1"/>
  <c r="N149" i="6"/>
  <c r="R149" i="6" s="1"/>
  <c r="P148" i="6"/>
  <c r="O148" i="6"/>
  <c r="Q148" i="6" s="1"/>
  <c r="N148" i="6"/>
  <c r="R148" i="6" s="1"/>
  <c r="P147" i="6"/>
  <c r="O147" i="6"/>
  <c r="Q147" i="6" s="1"/>
  <c r="N147" i="6"/>
  <c r="R147" i="6" s="1"/>
  <c r="P146" i="6"/>
  <c r="O146" i="6"/>
  <c r="Q146" i="6" s="1"/>
  <c r="N146" i="6"/>
  <c r="R146" i="6" s="1"/>
  <c r="P145" i="6"/>
  <c r="O145" i="6"/>
  <c r="Q145" i="6" s="1"/>
  <c r="N145" i="6"/>
  <c r="R145" i="6" s="1"/>
  <c r="R144" i="6"/>
  <c r="Q144" i="6"/>
  <c r="P144" i="6"/>
  <c r="O144" i="6"/>
  <c r="N144" i="6"/>
  <c r="Q143" i="6"/>
  <c r="P143" i="6"/>
  <c r="O143" i="6"/>
  <c r="N143" i="6"/>
  <c r="R143" i="6" s="1"/>
  <c r="R142" i="6"/>
  <c r="Q142" i="6"/>
  <c r="P142" i="6"/>
  <c r="O142" i="6"/>
  <c r="N142" i="6"/>
  <c r="Q141" i="6"/>
  <c r="P141" i="6"/>
  <c r="O141" i="6"/>
  <c r="N141" i="6"/>
  <c r="R141" i="6" s="1"/>
  <c r="R140" i="6"/>
  <c r="P140" i="6"/>
  <c r="O140" i="6"/>
  <c r="Q140" i="6" s="1"/>
  <c r="N140" i="6"/>
  <c r="P139" i="6"/>
  <c r="O139" i="6"/>
  <c r="Q139" i="6" s="1"/>
  <c r="N139" i="6"/>
  <c r="R139" i="6" s="1"/>
  <c r="P138" i="6"/>
  <c r="O138" i="6"/>
  <c r="Q138" i="6" s="1"/>
  <c r="N138" i="6"/>
  <c r="R138" i="6" s="1"/>
  <c r="P137" i="6"/>
  <c r="O137" i="6"/>
  <c r="Q137" i="6" s="1"/>
  <c r="N137" i="6"/>
  <c r="R137" i="6" s="1"/>
  <c r="P136" i="6"/>
  <c r="O136" i="6"/>
  <c r="Q136" i="6" s="1"/>
  <c r="N136" i="6"/>
  <c r="R136" i="6" s="1"/>
  <c r="Q135" i="6"/>
  <c r="P135" i="6"/>
  <c r="O135" i="6"/>
  <c r="N135" i="6"/>
  <c r="R135" i="6" s="1"/>
  <c r="R134" i="6"/>
  <c r="P134" i="6"/>
  <c r="O134" i="6"/>
  <c r="Q134" i="6" s="1"/>
  <c r="N134" i="6"/>
  <c r="Q133" i="6"/>
  <c r="P133" i="6"/>
  <c r="O133" i="6"/>
  <c r="N133" i="6"/>
  <c r="R133" i="6" s="1"/>
  <c r="R132" i="6"/>
  <c r="Q132" i="6"/>
  <c r="P132" i="6"/>
  <c r="O132" i="6"/>
  <c r="N132" i="6"/>
  <c r="P131" i="6"/>
  <c r="O131" i="6"/>
  <c r="Q131" i="6" s="1"/>
  <c r="N131" i="6"/>
  <c r="R131" i="6" s="1"/>
  <c r="Q130" i="6"/>
  <c r="P130" i="6"/>
  <c r="O130" i="6"/>
  <c r="N130" i="6"/>
  <c r="R130" i="6" s="1"/>
  <c r="P129" i="6"/>
  <c r="O129" i="6"/>
  <c r="Q129" i="6" s="1"/>
  <c r="N129" i="6"/>
  <c r="R129" i="6" s="1"/>
  <c r="P128" i="6"/>
  <c r="O128" i="6"/>
  <c r="Q128" i="6" s="1"/>
  <c r="N128" i="6"/>
  <c r="R128" i="6" s="1"/>
  <c r="P127" i="6"/>
  <c r="O127" i="6"/>
  <c r="Q127" i="6" s="1"/>
  <c r="N127" i="6"/>
  <c r="R127" i="6" s="1"/>
  <c r="P126" i="6"/>
  <c r="O126" i="6"/>
  <c r="Q126" i="6" s="1"/>
  <c r="N126" i="6"/>
  <c r="R126" i="6" s="1"/>
  <c r="P125" i="6"/>
  <c r="O125" i="6"/>
  <c r="Q125" i="6" s="1"/>
  <c r="N125" i="6"/>
  <c r="R125" i="6" s="1"/>
  <c r="R124" i="6"/>
  <c r="Q124" i="6"/>
  <c r="P124" i="6"/>
  <c r="O124" i="6"/>
  <c r="N124" i="6"/>
  <c r="Q123" i="6"/>
  <c r="P123" i="6"/>
  <c r="O123" i="6"/>
  <c r="N123" i="6"/>
  <c r="R123" i="6" s="1"/>
  <c r="R122" i="6"/>
  <c r="Q122" i="6"/>
  <c r="P122" i="6"/>
  <c r="O122" i="6"/>
  <c r="N122" i="6"/>
  <c r="Q121" i="6"/>
  <c r="P121" i="6"/>
  <c r="O121" i="6"/>
  <c r="N121" i="6"/>
  <c r="R121" i="6" s="1"/>
  <c r="R120" i="6"/>
  <c r="P120" i="6"/>
  <c r="O120" i="6"/>
  <c r="Q120" i="6" s="1"/>
  <c r="N120" i="6"/>
  <c r="P119" i="6"/>
  <c r="O119" i="6"/>
  <c r="Q119" i="6" s="1"/>
  <c r="N119" i="6"/>
  <c r="R119" i="6" s="1"/>
  <c r="P118" i="6"/>
  <c r="O118" i="6"/>
  <c r="Q118" i="6" s="1"/>
  <c r="N118" i="6"/>
  <c r="R118" i="6" s="1"/>
  <c r="P117" i="6"/>
  <c r="O117" i="6"/>
  <c r="Q117" i="6" s="1"/>
  <c r="N117" i="6"/>
  <c r="R117" i="6" s="1"/>
  <c r="P116" i="6"/>
  <c r="O116" i="6"/>
  <c r="Q116" i="6" s="1"/>
  <c r="N116" i="6"/>
  <c r="R116" i="6" s="1"/>
  <c r="Q115" i="6"/>
  <c r="P115" i="6"/>
  <c r="O115" i="6"/>
  <c r="N115" i="6"/>
  <c r="R115" i="6" s="1"/>
  <c r="R114" i="6"/>
  <c r="P114" i="6"/>
  <c r="O114" i="6"/>
  <c r="Q114" i="6" s="1"/>
  <c r="N114" i="6"/>
  <c r="Q113" i="6"/>
  <c r="P113" i="6"/>
  <c r="O113" i="6"/>
  <c r="N113" i="6"/>
  <c r="R113" i="6" s="1"/>
  <c r="R112" i="6"/>
  <c r="Q112" i="6"/>
  <c r="P112" i="6"/>
  <c r="O112" i="6"/>
  <c r="N112" i="6"/>
  <c r="P111" i="6"/>
  <c r="O111" i="6"/>
  <c r="Q111" i="6" s="1"/>
  <c r="N111" i="6"/>
  <c r="R111" i="6" s="1"/>
  <c r="Q110" i="6"/>
  <c r="P110" i="6"/>
  <c r="O110" i="6"/>
  <c r="N110" i="6"/>
  <c r="R110" i="6" s="1"/>
  <c r="P109" i="6"/>
  <c r="O109" i="6"/>
  <c r="Q109" i="6" s="1"/>
  <c r="N109" i="6"/>
  <c r="R109" i="6" s="1"/>
  <c r="P108" i="6"/>
  <c r="O108" i="6"/>
  <c r="Q108" i="6" s="1"/>
  <c r="N108" i="6"/>
  <c r="R108" i="6" s="1"/>
  <c r="P107" i="6"/>
  <c r="O107" i="6"/>
  <c r="Q107" i="6" s="1"/>
  <c r="N107" i="6"/>
  <c r="R107" i="6" s="1"/>
  <c r="P106" i="6"/>
  <c r="O106" i="6"/>
  <c r="Q106" i="6" s="1"/>
  <c r="N106" i="6"/>
  <c r="R106" i="6" s="1"/>
  <c r="P105" i="6"/>
  <c r="O105" i="6"/>
  <c r="Q105" i="6" s="1"/>
  <c r="N105" i="6"/>
  <c r="R105" i="6" s="1"/>
  <c r="R104" i="6"/>
  <c r="Q104" i="6"/>
  <c r="P104" i="6"/>
  <c r="O104" i="6"/>
  <c r="N104" i="6"/>
  <c r="Q103" i="6"/>
  <c r="P103" i="6"/>
  <c r="O103" i="6"/>
  <c r="N103" i="6"/>
  <c r="R103" i="6" s="1"/>
  <c r="R102" i="6"/>
  <c r="Q102" i="6"/>
  <c r="P102" i="6"/>
  <c r="O102" i="6"/>
  <c r="N102" i="6"/>
  <c r="Q101" i="6"/>
  <c r="P101" i="6"/>
  <c r="O101" i="6"/>
  <c r="N101" i="6"/>
  <c r="R101" i="6" s="1"/>
  <c r="R100" i="6"/>
  <c r="Q100" i="6"/>
  <c r="P100" i="6"/>
  <c r="O100" i="6"/>
  <c r="N100" i="6"/>
  <c r="P99" i="6"/>
  <c r="O99" i="6"/>
  <c r="Q99" i="6" s="1"/>
  <c r="N99" i="6"/>
  <c r="R99" i="6" s="1"/>
  <c r="P98" i="6"/>
  <c r="O98" i="6"/>
  <c r="Q98" i="6" s="1"/>
  <c r="N98" i="6"/>
  <c r="R98" i="6" s="1"/>
  <c r="P97" i="6"/>
  <c r="O97" i="6"/>
  <c r="Q97" i="6" s="1"/>
  <c r="N97" i="6"/>
  <c r="R97" i="6" s="1"/>
  <c r="P96" i="6"/>
  <c r="O96" i="6"/>
  <c r="Q96" i="6" s="1"/>
  <c r="N96" i="6"/>
  <c r="R96" i="6" s="1"/>
  <c r="Q95" i="6"/>
  <c r="P95" i="6"/>
  <c r="O95" i="6"/>
  <c r="N95" i="6"/>
  <c r="R95" i="6" s="1"/>
  <c r="R94" i="6"/>
  <c r="P94" i="6"/>
  <c r="O94" i="6"/>
  <c r="Q94" i="6" s="1"/>
  <c r="N94" i="6"/>
  <c r="Q93" i="6"/>
  <c r="P93" i="6"/>
  <c r="O93" i="6"/>
  <c r="N93" i="6"/>
  <c r="R93" i="6" s="1"/>
  <c r="R92" i="6"/>
  <c r="Q92" i="6"/>
  <c r="P92" i="6"/>
  <c r="O92" i="6"/>
  <c r="N92" i="6"/>
  <c r="P91" i="6"/>
  <c r="O91" i="6"/>
  <c r="Q91" i="6" s="1"/>
  <c r="N91" i="6"/>
  <c r="R91" i="6" s="1"/>
  <c r="Q90" i="6"/>
  <c r="P90" i="6"/>
  <c r="O90" i="6"/>
  <c r="N90" i="6"/>
  <c r="R90" i="6" s="1"/>
  <c r="P89" i="6"/>
  <c r="O89" i="6"/>
  <c r="Q89" i="6" s="1"/>
  <c r="N89" i="6"/>
  <c r="R89" i="6" s="1"/>
  <c r="P88" i="6"/>
  <c r="O88" i="6"/>
  <c r="Q88" i="6" s="1"/>
  <c r="N88" i="6"/>
  <c r="R88" i="6" s="1"/>
  <c r="P87" i="6"/>
  <c r="O87" i="6"/>
  <c r="Q87" i="6" s="1"/>
  <c r="N87" i="6"/>
  <c r="R87" i="6" s="1"/>
  <c r="R86" i="6"/>
  <c r="P86" i="6"/>
  <c r="O86" i="6"/>
  <c r="Q86" i="6" s="1"/>
  <c r="N86" i="6"/>
  <c r="P85" i="6"/>
  <c r="O85" i="6"/>
  <c r="Q85" i="6" s="1"/>
  <c r="N85" i="6"/>
  <c r="R85" i="6" s="1"/>
  <c r="Q84" i="6"/>
  <c r="P84" i="6"/>
  <c r="O84" i="6"/>
  <c r="N84" i="6"/>
  <c r="R84" i="6" s="1"/>
  <c r="Q83" i="6"/>
  <c r="P83" i="6"/>
  <c r="O83" i="6"/>
  <c r="N83" i="6"/>
  <c r="R83" i="6" s="1"/>
  <c r="R82" i="6"/>
  <c r="Q82" i="6"/>
  <c r="P82" i="6"/>
  <c r="O82" i="6"/>
  <c r="N82" i="6"/>
  <c r="Q81" i="6"/>
  <c r="P81" i="6"/>
  <c r="O81" i="6"/>
  <c r="N81" i="6"/>
  <c r="R81" i="6" s="1"/>
  <c r="R80" i="6"/>
  <c r="Q80" i="6"/>
  <c r="P80" i="6"/>
  <c r="O80" i="6"/>
  <c r="N80" i="6"/>
  <c r="P79" i="6"/>
  <c r="O79" i="6"/>
  <c r="Q79" i="6" s="1"/>
  <c r="N79" i="6"/>
  <c r="R79" i="6" s="1"/>
  <c r="P78" i="6"/>
  <c r="O78" i="6"/>
  <c r="Q78" i="6" s="1"/>
  <c r="N78" i="6"/>
  <c r="R78" i="6" s="1"/>
  <c r="P77" i="6"/>
  <c r="O77" i="6"/>
  <c r="Q77" i="6" s="1"/>
  <c r="N77" i="6"/>
  <c r="R77" i="6" s="1"/>
  <c r="P76" i="6"/>
  <c r="O76" i="6"/>
  <c r="Q76" i="6" s="1"/>
  <c r="N76" i="6"/>
  <c r="R76" i="6" s="1"/>
  <c r="Q75" i="6"/>
  <c r="P75" i="6"/>
  <c r="O75" i="6"/>
  <c r="N75" i="6"/>
  <c r="R75" i="6" s="1"/>
  <c r="R74" i="6"/>
  <c r="P74" i="6"/>
  <c r="O74" i="6"/>
  <c r="Q74" i="6" s="1"/>
  <c r="N74" i="6"/>
  <c r="Q73" i="6"/>
  <c r="P73" i="6"/>
  <c r="O73" i="6"/>
  <c r="N73" i="6"/>
  <c r="R73" i="6" s="1"/>
  <c r="R72" i="6"/>
  <c r="Q72" i="6"/>
  <c r="P72" i="6"/>
  <c r="O72" i="6"/>
  <c r="N72" i="6"/>
  <c r="P71" i="6"/>
  <c r="O71" i="6"/>
  <c r="Q71" i="6" s="1"/>
  <c r="N71" i="6"/>
  <c r="R71" i="6" s="1"/>
  <c r="Q70" i="6"/>
  <c r="P70" i="6"/>
  <c r="O70" i="6"/>
  <c r="N70" i="6"/>
  <c r="R70" i="6" s="1"/>
  <c r="P69" i="6"/>
  <c r="O69" i="6"/>
  <c r="Q69" i="6" s="1"/>
  <c r="N69" i="6"/>
  <c r="R69" i="6" s="1"/>
  <c r="P68" i="6"/>
  <c r="O68" i="6"/>
  <c r="Q68" i="6" s="1"/>
  <c r="N68" i="6"/>
  <c r="R68" i="6" s="1"/>
  <c r="P67" i="6"/>
  <c r="O67" i="6"/>
  <c r="Q67" i="6" s="1"/>
  <c r="N67" i="6"/>
  <c r="R67" i="6" s="1"/>
  <c r="R66" i="6"/>
  <c r="P66" i="6"/>
  <c r="O66" i="6"/>
  <c r="Q66" i="6" s="1"/>
  <c r="N66" i="6"/>
  <c r="P65" i="6"/>
  <c r="O65" i="6"/>
  <c r="Q65" i="6" s="1"/>
  <c r="N65" i="6"/>
  <c r="R65" i="6" s="1"/>
  <c r="Q64" i="6"/>
  <c r="P64" i="6"/>
  <c r="O64" i="6"/>
  <c r="N64" i="6"/>
  <c r="R64" i="6" s="1"/>
  <c r="Q63" i="6"/>
  <c r="P63" i="6"/>
  <c r="O63" i="6"/>
  <c r="N63" i="6"/>
  <c r="R63" i="6" s="1"/>
  <c r="R62" i="6"/>
  <c r="Q62" i="6"/>
  <c r="P62" i="6"/>
  <c r="O62" i="6"/>
  <c r="N62" i="6"/>
  <c r="Q61" i="6"/>
  <c r="P61" i="6"/>
  <c r="O61" i="6"/>
  <c r="N61" i="6"/>
  <c r="R61" i="6" s="1"/>
  <c r="R60" i="6"/>
  <c r="Q60" i="6"/>
  <c r="P60" i="6"/>
  <c r="O60" i="6"/>
  <c r="N60" i="6"/>
  <c r="P59" i="6"/>
  <c r="O59" i="6"/>
  <c r="Q59" i="6" s="1"/>
  <c r="N59" i="6"/>
  <c r="R59" i="6" s="1"/>
  <c r="P58" i="6"/>
  <c r="O58" i="6"/>
  <c r="Q58" i="6" s="1"/>
  <c r="N58" i="6"/>
  <c r="R58" i="6" s="1"/>
  <c r="P57" i="6"/>
  <c r="O57" i="6"/>
  <c r="Q57" i="6" s="1"/>
  <c r="N57" i="6"/>
  <c r="R57" i="6" s="1"/>
  <c r="P56" i="6"/>
  <c r="O56" i="6"/>
  <c r="Q56" i="6" s="1"/>
  <c r="N56" i="6"/>
  <c r="R56" i="6" s="1"/>
  <c r="Q55" i="6"/>
  <c r="P55" i="6"/>
  <c r="O55" i="6"/>
  <c r="N55" i="6"/>
  <c r="R55" i="6" s="1"/>
  <c r="P54" i="6"/>
  <c r="O54" i="6"/>
  <c r="Q54" i="6" s="1"/>
  <c r="N54" i="6"/>
  <c r="R54" i="6" s="1"/>
  <c r="Q53" i="6"/>
  <c r="P53" i="6"/>
  <c r="O53" i="6"/>
  <c r="N53" i="6"/>
  <c r="R53" i="6" s="1"/>
  <c r="R52" i="6"/>
  <c r="Q52" i="6"/>
  <c r="P52" i="6"/>
  <c r="O52" i="6"/>
  <c r="N52" i="6"/>
  <c r="Q51" i="6"/>
  <c r="P51" i="6"/>
  <c r="O51" i="6"/>
  <c r="N51" i="6"/>
  <c r="R51" i="6" s="1"/>
  <c r="Q50" i="6"/>
  <c r="P50" i="6"/>
  <c r="O50" i="6"/>
  <c r="N50" i="6"/>
  <c r="R50" i="6" s="1"/>
  <c r="P49" i="6"/>
  <c r="O49" i="6"/>
  <c r="Q49" i="6" s="1"/>
  <c r="N49" i="6"/>
  <c r="R49" i="6" s="1"/>
  <c r="P48" i="6"/>
  <c r="O48" i="6"/>
  <c r="Q48" i="6" s="1"/>
  <c r="N48" i="6"/>
  <c r="R48" i="6" s="1"/>
  <c r="P47" i="6"/>
  <c r="O47" i="6"/>
  <c r="Q47" i="6" s="1"/>
  <c r="N47" i="6"/>
  <c r="R47" i="6" s="1"/>
  <c r="P46" i="6"/>
  <c r="O46" i="6"/>
  <c r="Q46" i="6" s="1"/>
  <c r="N46" i="6"/>
  <c r="R46" i="6" s="1"/>
  <c r="P45" i="6"/>
  <c r="O45" i="6"/>
  <c r="Q45" i="6" s="1"/>
  <c r="N45" i="6"/>
  <c r="R45" i="6" s="1"/>
  <c r="R44" i="6"/>
  <c r="Q44" i="6"/>
  <c r="P44" i="6"/>
  <c r="O44" i="6"/>
  <c r="N44" i="6"/>
  <c r="Q43" i="6"/>
  <c r="P43" i="6"/>
  <c r="O43" i="6"/>
  <c r="N43" i="6"/>
  <c r="R43" i="6" s="1"/>
  <c r="R42" i="6"/>
  <c r="Q42" i="6"/>
  <c r="P42" i="6"/>
  <c r="O42" i="6"/>
  <c r="N42" i="6"/>
  <c r="Q41" i="6"/>
  <c r="P41" i="6"/>
  <c r="O41" i="6"/>
  <c r="N41" i="6"/>
  <c r="R41" i="6" s="1"/>
  <c r="R40" i="6"/>
  <c r="Q40" i="6"/>
  <c r="P40" i="6"/>
  <c r="O40" i="6"/>
  <c r="N40" i="6"/>
  <c r="P39" i="6"/>
  <c r="O39" i="6"/>
  <c r="Q39" i="6" s="1"/>
  <c r="N39" i="6"/>
  <c r="R39" i="6" s="1"/>
  <c r="P38" i="6"/>
  <c r="O38" i="6"/>
  <c r="Q38" i="6" s="1"/>
  <c r="N38" i="6"/>
  <c r="R38" i="6" s="1"/>
  <c r="P37" i="6"/>
  <c r="O37" i="6"/>
  <c r="Q37" i="6" s="1"/>
  <c r="N37" i="6"/>
  <c r="R37" i="6" s="1"/>
  <c r="P36" i="6"/>
  <c r="O36" i="6"/>
  <c r="Q36" i="6" s="1"/>
  <c r="N36" i="6"/>
  <c r="R36" i="6" s="1"/>
  <c r="Q35" i="6"/>
  <c r="P35" i="6"/>
  <c r="O35" i="6"/>
  <c r="N35" i="6"/>
  <c r="R35" i="6" s="1"/>
  <c r="R34" i="6"/>
  <c r="P34" i="6"/>
  <c r="O34" i="6"/>
  <c r="Q34" i="6" s="1"/>
  <c r="N34" i="6"/>
  <c r="Q33" i="6"/>
  <c r="P33" i="6"/>
  <c r="O33" i="6"/>
  <c r="N33" i="6"/>
  <c r="R33" i="6" s="1"/>
  <c r="R32" i="6"/>
  <c r="Q32" i="6"/>
  <c r="P32" i="6"/>
  <c r="O32" i="6"/>
  <c r="N32" i="6"/>
  <c r="P31" i="6"/>
  <c r="O31" i="6"/>
  <c r="Q31" i="6" s="1"/>
  <c r="N31" i="6"/>
  <c r="R31" i="6" s="1"/>
  <c r="Q30" i="6"/>
  <c r="P30" i="6"/>
  <c r="O30" i="6"/>
  <c r="N30" i="6"/>
  <c r="R30" i="6" s="1"/>
  <c r="Q29" i="6"/>
  <c r="P29" i="6"/>
  <c r="O29" i="6"/>
  <c r="N29" i="6"/>
  <c r="R29" i="6" s="1"/>
  <c r="P28" i="6"/>
  <c r="O28" i="6"/>
  <c r="Q28" i="6" s="1"/>
  <c r="N28" i="6"/>
  <c r="R28" i="6" s="1"/>
  <c r="P27" i="6"/>
  <c r="O27" i="6"/>
  <c r="Q27" i="6" s="1"/>
  <c r="N27" i="6"/>
  <c r="R27" i="6" s="1"/>
  <c r="R26" i="6"/>
  <c r="P26" i="6"/>
  <c r="O26" i="6"/>
  <c r="Q26" i="6" s="1"/>
  <c r="N26" i="6"/>
  <c r="P25" i="6"/>
  <c r="O25" i="6"/>
  <c r="Q25" i="6" s="1"/>
  <c r="N25" i="6"/>
  <c r="R25" i="6" s="1"/>
  <c r="P24" i="6"/>
  <c r="O24" i="6"/>
  <c r="Q24" i="6" s="1"/>
  <c r="N24" i="6"/>
  <c r="R24" i="6" s="1"/>
  <c r="P23" i="6"/>
  <c r="O23" i="6"/>
  <c r="Q23" i="6" s="1"/>
  <c r="N23" i="6"/>
  <c r="R23" i="6" s="1"/>
  <c r="R22" i="6"/>
  <c r="P22" i="6"/>
  <c r="O22" i="6"/>
  <c r="Q22" i="6" s="1"/>
  <c r="N22" i="6"/>
  <c r="P21" i="6"/>
  <c r="O21" i="6"/>
  <c r="Q21" i="6" s="1"/>
  <c r="N21" i="6"/>
  <c r="R21" i="6" s="1"/>
  <c r="P20" i="6"/>
  <c r="O20" i="6"/>
  <c r="Q20" i="6" s="1"/>
  <c r="N20" i="6"/>
  <c r="R20" i="6" s="1"/>
  <c r="P19" i="6"/>
  <c r="O19" i="6"/>
  <c r="Q19" i="6" s="1"/>
  <c r="N19" i="6"/>
  <c r="R19" i="6" s="1"/>
  <c r="R18" i="6"/>
  <c r="P18" i="6"/>
  <c r="O18" i="6"/>
  <c r="Q18" i="6" s="1"/>
  <c r="N18" i="6"/>
  <c r="P17" i="6"/>
  <c r="O17" i="6"/>
  <c r="Q17" i="6" s="1"/>
  <c r="N17" i="6"/>
  <c r="R17" i="6" s="1"/>
  <c r="P16" i="6"/>
  <c r="O16" i="6"/>
  <c r="Q16" i="6" s="1"/>
  <c r="N16" i="6"/>
  <c r="R16" i="6" s="1"/>
  <c r="P15" i="6"/>
  <c r="O15" i="6"/>
  <c r="Q15" i="6" s="1"/>
  <c r="N15" i="6"/>
  <c r="R15" i="6" s="1"/>
  <c r="P14" i="6"/>
  <c r="O14" i="6"/>
  <c r="Q14" i="6" s="1"/>
  <c r="N14" i="6"/>
  <c r="R14" i="6" s="1"/>
  <c r="R13" i="6"/>
  <c r="P13" i="6"/>
  <c r="O13" i="6"/>
  <c r="Q13" i="6" s="1"/>
  <c r="N13" i="6"/>
  <c r="P12" i="6"/>
  <c r="O12" i="6"/>
  <c r="Q12" i="6" s="1"/>
  <c r="N12" i="6"/>
  <c r="R12" i="6" s="1"/>
  <c r="R11" i="6"/>
  <c r="Q11" i="6"/>
  <c r="P11" i="6"/>
  <c r="O11" i="6"/>
  <c r="N11" i="6"/>
  <c r="R10" i="6"/>
  <c r="P10" i="6"/>
  <c r="O10" i="6"/>
  <c r="Q10" i="6" s="1"/>
  <c r="N10" i="6"/>
  <c r="R9" i="6"/>
  <c r="Q9" i="6"/>
  <c r="P9" i="6"/>
  <c r="O9" i="6"/>
  <c r="N9" i="6"/>
  <c r="R8" i="6"/>
  <c r="P8" i="6"/>
  <c r="O8" i="6"/>
  <c r="Q8" i="6" s="1"/>
  <c r="N8" i="6"/>
  <c r="R7" i="6"/>
  <c r="Q7" i="6"/>
  <c r="P7" i="6"/>
  <c r="O7" i="6"/>
  <c r="N7" i="6"/>
  <c r="P6" i="6"/>
  <c r="O6" i="6"/>
  <c r="Q6" i="6" s="1"/>
  <c r="N6" i="6"/>
  <c r="R6" i="6" s="1"/>
  <c r="P5" i="6"/>
  <c r="O5" i="6"/>
  <c r="Q5" i="6" s="1"/>
  <c r="N5" i="6"/>
  <c r="R5" i="6" s="1"/>
  <c r="P4" i="6"/>
  <c r="O4" i="6"/>
  <c r="Q4" i="6" s="1"/>
  <c r="N4" i="6"/>
  <c r="R4" i="6" s="1"/>
  <c r="P3" i="6"/>
  <c r="O3" i="6"/>
  <c r="Q3" i="6" s="1"/>
  <c r="N3" i="6"/>
  <c r="R3" i="6" s="1"/>
  <c r="R2" i="6"/>
  <c r="P2" i="6"/>
  <c r="O2" i="6"/>
  <c r="Q2" i="6" s="1"/>
  <c r="N2" i="6"/>
</calcChain>
</file>

<file path=xl/sharedStrings.xml><?xml version="1.0" encoding="utf-8"?>
<sst xmlns="http://schemas.openxmlformats.org/spreadsheetml/2006/main" count="10875" uniqueCount="1363">
  <si>
    <t>Month</t>
  </si>
  <si>
    <t>(All)</t>
  </si>
  <si>
    <t>Count of result</t>
  </si>
  <si>
    <t>Column Labels</t>
  </si>
  <si>
    <t>Row Labels</t>
  </si>
  <si>
    <t>Observed Better</t>
  </si>
  <si>
    <t>Provided Guidance</t>
  </si>
  <si>
    <t>Grand Total</t>
  </si>
  <si>
    <t>Lifting Options, Technique and Pace</t>
  </si>
  <si>
    <t>Lifting Technique</t>
  </si>
  <si>
    <t>Same Side Hand and Foot</t>
  </si>
  <si>
    <t>Position Elbows Closer</t>
  </si>
  <si>
    <t>Smart Setup</t>
  </si>
  <si>
    <t>Adjust Seat</t>
  </si>
  <si>
    <t>Arrange Storage</t>
  </si>
  <si>
    <t>Raised Work Surface</t>
  </si>
  <si>
    <t>Use Mid-range Wrist Motions</t>
  </si>
  <si>
    <t>Reposition Your Work</t>
  </si>
  <si>
    <t>(blank)</t>
  </si>
  <si>
    <t>Carry the weight on your arm or shoulder</t>
  </si>
  <si>
    <t>Leg Strength and Balance</t>
  </si>
  <si>
    <t>Pre-position One Foot Back</t>
  </si>
  <si>
    <t>Offloading or Stacking</t>
  </si>
  <si>
    <t>Reach Low</t>
  </si>
  <si>
    <t xml:space="preserve">Leg Strength and Balance </t>
  </si>
  <si>
    <t>Push Back and Turn</t>
  </si>
  <si>
    <t>Reach High</t>
  </si>
  <si>
    <t>Count of Observations</t>
  </si>
  <si>
    <t>April</t>
  </si>
  <si>
    <t>May</t>
  </si>
  <si>
    <t>January</t>
  </si>
  <si>
    <t>February</t>
  </si>
  <si>
    <t>March</t>
  </si>
  <si>
    <t>David Alexander</t>
  </si>
  <si>
    <t>Ivanna Tipton</t>
  </si>
  <si>
    <t>Jeffrey Bizal</t>
  </si>
  <si>
    <t>Kongmeng Thao</t>
  </si>
  <si>
    <t>Sahil Patel</t>
  </si>
  <si>
    <t>Shannon Somerville</t>
  </si>
  <si>
    <t>Sher Her</t>
  </si>
  <si>
    <t>Shirlee Petersen</t>
  </si>
  <si>
    <t>Nicholas Kulak</t>
  </si>
  <si>
    <t>Cindy Johnston</t>
  </si>
  <si>
    <t>Mathew Frank</t>
  </si>
  <si>
    <t>Kera Allen</t>
  </si>
  <si>
    <t>Alan Mansfield</t>
  </si>
  <si>
    <t>Week</t>
  </si>
  <si>
    <t>(Multiple Items)</t>
  </si>
  <si>
    <t>Type of Feedback</t>
  </si>
  <si>
    <t>id</t>
  </si>
  <si>
    <t>createdAt</t>
  </si>
  <si>
    <t>locationName</t>
  </si>
  <si>
    <t>locationTimezone</t>
  </si>
  <si>
    <t>techniqueName</t>
  </si>
  <si>
    <t>techniqueSubtitle1</t>
  </si>
  <si>
    <t>techniqueSubtitle2</t>
  </si>
  <si>
    <t>companyName</t>
  </si>
  <si>
    <t>ObservationDate</t>
  </si>
  <si>
    <t>observerName</t>
  </si>
  <si>
    <t>observerEmail</t>
  </si>
  <si>
    <t>result</t>
  </si>
  <si>
    <t>notes</t>
  </si>
  <si>
    <t>outcome</t>
  </si>
  <si>
    <t>monthName</t>
  </si>
  <si>
    <t>formalWeek</t>
  </si>
  <si>
    <t>Rivergate</t>
  </si>
  <si>
    <t>America/Los_Angeles</t>
  </si>
  <si>
    <t>Columbia Sportswear</t>
  </si>
  <si>
    <t>2024-01-02 18:22:46 -0800 PST</t>
  </si>
  <si>
    <t>Sahil.Patel@columbia.com</t>
  </si>
  <si>
    <t>I observed use of better technique.</t>
  </si>
  <si>
    <t>Relax your index finger</t>
  </si>
  <si>
    <t>2024-01-02 18:37:21 -0800 PST</t>
  </si>
  <si>
    <t>Pushing or Pulling</t>
  </si>
  <si>
    <t>2024-01-02 19:03:19 -0800 PST</t>
  </si>
  <si>
    <t>2024-01-04 22:03:34 -0800 PST</t>
  </si>
  <si>
    <t>SPetersen@columbia.com</t>
  </si>
  <si>
    <t>I provided guidance about using better technique.</t>
  </si>
  <si>
    <t xml:space="preserve">Ee modeled proper technique.  Blue 2_x000D_
</t>
  </si>
  <si>
    <t>2024-01-04 22:08:33 -0800 PST</t>
  </si>
  <si>
    <t>Ee modeled proper technique red 5</t>
  </si>
  <si>
    <t>2024-01-04 22:06:59 -0800 PST</t>
  </si>
  <si>
    <t>Ee modeled proper technique red 8</t>
  </si>
  <si>
    <t>2024-01-04 22:07:59 -0800 PST</t>
  </si>
  <si>
    <t>2024-01-04 22:10:26 -0800 PST</t>
  </si>
  <si>
    <t>2024-01-04 22:11:48 -0800 PST</t>
  </si>
  <si>
    <t>Ee modeled proper technique red 3</t>
  </si>
  <si>
    <t>2024-01-04 22:16:59 -0800 PST</t>
  </si>
  <si>
    <t>Ee modeled proper technique red 17</t>
  </si>
  <si>
    <t>2024-01-04 22:20:56 -0800 PST</t>
  </si>
  <si>
    <t>Ee modeled proper technique red 23</t>
  </si>
  <si>
    <t>2024-01-05 00:08:28 -0800 PST</t>
  </si>
  <si>
    <t>Nicholas.Kulak@columbia.com</t>
  </si>
  <si>
    <t>2024-01-05 00:12:36 -0800 PST</t>
  </si>
  <si>
    <t>Push with little finger side of palm</t>
  </si>
  <si>
    <t>2024-01-05 00:13:24 -0800 PST</t>
  </si>
  <si>
    <t>2024-01-05 06:53:43 -0800 PST</t>
  </si>
  <si>
    <t>SSomerville@columbia.com</t>
  </si>
  <si>
    <t xml:space="preserve">Good wrist movements when using a pallet jack to place a pallet of corrugate. </t>
  </si>
  <si>
    <t>2024-01-05 06:54:41 -0800 PST</t>
  </si>
  <si>
    <t xml:space="preserve">Correct wrist movements while moving an empty pallet. </t>
  </si>
  <si>
    <t>2024-01-05 06:55:26 -0800 PST</t>
  </si>
  <si>
    <t xml:space="preserve">Good wrist movements when scanning units with a handheld scanner. </t>
  </si>
  <si>
    <t>2024-01-05 06:56:06 -0800 PST</t>
  </si>
  <si>
    <t xml:space="preserve">Good movements with totes. </t>
  </si>
  <si>
    <t>2024-01-05 06:57:07 -0800 PST</t>
  </si>
  <si>
    <t xml:space="preserve">Proper feet placement when moving a stack of three totes. </t>
  </si>
  <si>
    <t>2024-01-05 06:59:00 -0800 PST</t>
  </si>
  <si>
    <t xml:space="preserve">Good wrist movements when using a hand held scanner. </t>
  </si>
  <si>
    <t>2024-01-05 09:26:28 -0800 PST</t>
  </si>
  <si>
    <t>Jeffrey Wilson</t>
  </si>
  <si>
    <t>Jeffrey.Wilson@columbia.com</t>
  </si>
  <si>
    <t>2024-01-05 09:26:37 -0800 PST</t>
  </si>
  <si>
    <t>2024-01-05 09:27:13 -0800 PST</t>
  </si>
  <si>
    <t>2024-01-07 11:06:14 -0800 PST</t>
  </si>
  <si>
    <t>Ian Zehm</t>
  </si>
  <si>
    <t>Ian.Zehm@columbia.com</t>
  </si>
  <si>
    <t>2024-01-07 11:06:23 -0800 PST</t>
  </si>
  <si>
    <t>2024-01-07 11:06:52 -0800 PST</t>
  </si>
  <si>
    <t>2024-01-08 10:15:58 -0800 PST</t>
  </si>
  <si>
    <t>2024-01-08 21:10:20 -0800 PST</t>
  </si>
  <si>
    <t>2024-01-08 21:39:07 -0800 PST</t>
  </si>
  <si>
    <t>2024-01-09 12:47:17 -0800 PST</t>
  </si>
  <si>
    <t>2024-01-09 12:47:34 -0800 PST</t>
  </si>
  <si>
    <t>2024-01-09 19:21:37 -0800 PST</t>
  </si>
  <si>
    <t>Mario Quintana-Rios</t>
  </si>
  <si>
    <t>Mario.QuintanaRios@columbia.com</t>
  </si>
  <si>
    <t>2024-01-09 20:39:44 -0800 PST</t>
  </si>
  <si>
    <t>2024-01-09 21:03:27 -0800 PST</t>
  </si>
  <si>
    <t>2024-01-09 21:23:39 -0800 PST</t>
  </si>
  <si>
    <t>2024-01-10 00:38:15 -0800 PST</t>
  </si>
  <si>
    <t>Adjust your hand position</t>
  </si>
  <si>
    <t>2024-01-10 12:59:30 -0800 PST</t>
  </si>
  <si>
    <t xml:space="preserve">As I watched her carry a 1A carton she had her elbows into her side.  Good placements of her hands. </t>
  </si>
  <si>
    <t>Set the load</t>
  </si>
  <si>
    <t>Slide the load closer before lifting</t>
  </si>
  <si>
    <t>2024-01-10 13:00:16 -0800 PST</t>
  </si>
  <si>
    <t xml:space="preserve">She brought the units closer to her as she did her audits. </t>
  </si>
  <si>
    <t>2024-01-10 13:01:55 -0800 PST</t>
  </si>
  <si>
    <t xml:space="preserve">Watcher her carry a runner bag I notice her holding the strap at chest level. Good posture. </t>
  </si>
  <si>
    <t>2024-01-11 12:56:16 -0800 PST</t>
  </si>
  <si>
    <t>matthew.frank@columbia.com</t>
  </si>
  <si>
    <t>2024-01-11 12:56:32 -0800 PST</t>
  </si>
  <si>
    <t>2024-01-11 12:56:45 -0800 PST</t>
  </si>
  <si>
    <t>2024-01-12 00:07:55 -0800 PST</t>
  </si>
  <si>
    <t>Ee modeled proper technique #23 red</t>
  </si>
  <si>
    <t>2024-01-12 00:13:48 -0800 PST</t>
  </si>
  <si>
    <t xml:space="preserve">Ee modeled proper technique coach. </t>
  </si>
  <si>
    <t>2024-01-12 00:16:23 -0800 PST</t>
  </si>
  <si>
    <t>Ee modeled proper technique yellow# 2</t>
  </si>
  <si>
    <t>2024-01-12 00:17:59 -0800 PST</t>
  </si>
  <si>
    <t>Ee modeled proper technique red #3.</t>
  </si>
  <si>
    <t>2024-01-12 00:19:27 -0800 PST</t>
  </si>
  <si>
    <t>Ee modeled proper technique red#5</t>
  </si>
  <si>
    <t>2024-01-12 00:21:22 -0800 PST</t>
  </si>
  <si>
    <t>Ee modeled proper technique red # 15</t>
  </si>
  <si>
    <t>2024-01-12 00:40:55 -0800 PST</t>
  </si>
  <si>
    <t>2024-01-12 00:42:31 -0800 PST</t>
  </si>
  <si>
    <t>2024-01-12 00:42:57 -0800 PST</t>
  </si>
  <si>
    <t>2024-01-12 08:45:21 -0800 PST</t>
  </si>
  <si>
    <t>2024-01-12 08:55:29 -0800 PST</t>
  </si>
  <si>
    <t>2024-01-12 08:56:27 -0800 PST</t>
  </si>
  <si>
    <t>Change your body position</t>
  </si>
  <si>
    <t>2024-01-21 07:13:25 -0800 PST</t>
  </si>
  <si>
    <t>2024-01-21 07:19:03 -0800 PST</t>
  </si>
  <si>
    <t>2024-01-21 07:21:44 -0800 PST</t>
  </si>
  <si>
    <t>2024-01-22 20:56:38 -0800 PST</t>
  </si>
  <si>
    <t>2024-01-22 21:07:55 -0800 PST</t>
  </si>
  <si>
    <t>2024-01-23 23:11:57 -0800 PST</t>
  </si>
  <si>
    <t>2024-01-26 00:23:48 -0800 PST</t>
  </si>
  <si>
    <t>Ee modeled proper technique # red 3</t>
  </si>
  <si>
    <t>2024-01-26 00:25:18 -0800 PST</t>
  </si>
  <si>
    <t>2024-01-26 00:27:19 -0800 PST</t>
  </si>
  <si>
    <t>Ee modeled proper technique red# 13</t>
  </si>
  <si>
    <t>2024-01-26 00:28:46 -0800 PST</t>
  </si>
  <si>
    <t>Ee modeled proper technique red# 15</t>
  </si>
  <si>
    <t>2024-01-26 00:30:04 -0800 PST</t>
  </si>
  <si>
    <t>Ee modeled proper technique red# 17</t>
  </si>
  <si>
    <t>2024-01-26 00:32:43 -0800 PST</t>
  </si>
  <si>
    <t>Ee modeled proper technique red# 19</t>
  </si>
  <si>
    <t>2024-01-26 00:34:53 -0800 PST</t>
  </si>
  <si>
    <t>Ee modeled proper technique red# 21</t>
  </si>
  <si>
    <t>2024-01-26 00:38:14 -0800 PST</t>
  </si>
  <si>
    <t>Ee modeled proper technique red #6</t>
  </si>
  <si>
    <t>2024-01-26 00:39:41 -0800 PST</t>
  </si>
  <si>
    <t>Ee modeled proper technique red# 12</t>
  </si>
  <si>
    <t>2024-01-26 00:40:59 -0800 PST</t>
  </si>
  <si>
    <t>Ee modeled proper technique red#14</t>
  </si>
  <si>
    <t>2024-01-26 00:42:30 -0800 PST</t>
  </si>
  <si>
    <t>Ee modeled proper technique red# 16</t>
  </si>
  <si>
    <t>2024-01-26 04:39:18 -0800 PST</t>
  </si>
  <si>
    <t>2024-01-26 04:39:27 -0800 PST</t>
  </si>
  <si>
    <t>2024-01-26 04:39:37 -0800 PST</t>
  </si>
  <si>
    <t>2024-01-26 08:33:28 -0800 PST</t>
  </si>
  <si>
    <t>2024-01-26 08:48:49 -0800 PST</t>
  </si>
  <si>
    <t>2024-01-26 12:05:09 -0800 PST</t>
  </si>
  <si>
    <t xml:space="preserve">He is really tall. I watched him put totes with E-commerce orders on the floor safely. </t>
  </si>
  <si>
    <t>2024-01-26 12:06:58 -0800 PST</t>
  </si>
  <si>
    <t xml:space="preserve">She is on the shorter side. She used good body mechanics to reach the top tote on the stack of totes and brought bit down safely. </t>
  </si>
  <si>
    <t>2024-01-26 12:08:05 -0800 PST</t>
  </si>
  <si>
    <t xml:space="preserve">It is a stretch for her to reach the upper/lower chute knob. She positioned her body correctly. </t>
  </si>
  <si>
    <t>2024-01-26 12:09:32 -0800 PST</t>
  </si>
  <si>
    <t xml:space="preserve">As he pulled totes off the pallet to restock his bank he had good pivots. </t>
  </si>
  <si>
    <t>Align Spinal In-Curves</t>
  </si>
  <si>
    <t>2024-01-26 12:11:15 -0800 PST</t>
  </si>
  <si>
    <t xml:space="preserve">He was up stacking corrugate and used his knees arms back correctly. </t>
  </si>
  <si>
    <t>2024-01-26 12:12:48 -0800 PST</t>
  </si>
  <si>
    <t xml:space="preserve">As she carried a carton from the bank to the desk her elbows were bent and she positioned,the carton correctly before she placed it down. </t>
  </si>
  <si>
    <t>2024-01-26 12:14:58 -0800 PST</t>
  </si>
  <si>
    <t xml:space="preserve">She was carrying the runner bag with good position of her arms. </t>
  </si>
  <si>
    <t>2024-01-26 19:10:22 -0800 PST</t>
  </si>
  <si>
    <t>2024-01-26 19:12:08 -0800 PST</t>
  </si>
  <si>
    <t>Lift by using your legs with your back straight</t>
  </si>
  <si>
    <t>2024-01-26 19:16:15 -0800 PST</t>
  </si>
  <si>
    <t>2024-01-26 19:57:51 -0800 PST</t>
  </si>
  <si>
    <t>2024-01-26 19:58:37 -0800 PST</t>
  </si>
  <si>
    <t>2024-01-27 15:39:55 -0800 PST</t>
  </si>
  <si>
    <t>2024-01-27 15:41:36 -0800 PST</t>
  </si>
  <si>
    <t>2024-01-28 06:27:19 -0800 PST</t>
  </si>
  <si>
    <t>2024-01-28 06:35:54 -0800 PST</t>
  </si>
  <si>
    <t>Build a bridge</t>
  </si>
  <si>
    <t>2024-01-28 15:16:27 -0800 PST</t>
  </si>
  <si>
    <t>Brittney Davis</t>
  </si>
  <si>
    <t>BDavis@columbia.com</t>
  </si>
  <si>
    <t>Associate had a great technique and made sure their body was supported so that they wouldnâ€™t injure themselves. They always go out their way to make sure they are safe. I didnâ€™t have to demonstrate anything.</t>
  </si>
  <si>
    <t>2024-01-28 16:14:10 -0800 PST</t>
  </si>
  <si>
    <t xml:space="preserve">I observed an associate not using the proper technique when lifting cases for replenishment and had to correct them before they injured themselves. The associate was in the red zone a lot and I had to teach them how to do the correct technique so they wouldnâ€™t put strain on their back. Once I demonstrated and observed the associate for a while they were much better and safer. </t>
  </si>
  <si>
    <t>Change your hand position</t>
  </si>
  <si>
    <t>2024-01-28 16:19:57 -0800 PST</t>
  </si>
  <si>
    <t xml:space="preserve">I observed an associate who was struggling with using the proper methods when using a tape gun. She was getting some soreness after a while and how she was using it. She demonstrated different ways that she uses the tape good and so I taught her a better way to position her wrist when she uses the tape gun and how it will be low stress and probably not hurt throughout the day. After being able to show her a better way she has had no soreness and is able to work better and safer. </t>
  </si>
  <si>
    <t>2024-01-29 23:03:20 -0800 PST</t>
  </si>
  <si>
    <t>2024-01-29 23:06:21 -0800 PST</t>
  </si>
  <si>
    <t>2024-01-29 23:06:41 -0800 PST</t>
  </si>
  <si>
    <t>2024-01-30 00:35:01 -0800 PST</t>
  </si>
  <si>
    <t>2024-01-30 15:25:28 -0800 PST</t>
  </si>
  <si>
    <t>Center-line Handoff</t>
  </si>
  <si>
    <t>2024-01-30 20:15:02 -0800 PST</t>
  </si>
  <si>
    <t>2024-01-30 22:36:14 -0800 PST</t>
  </si>
  <si>
    <t>2024-01-31 15:21:06 -0800 PST</t>
  </si>
  <si>
    <t>2024-01-31 18:09:06 -0800 PST</t>
  </si>
  <si>
    <t>2024-01-31 19:34:07 -0800 PST</t>
  </si>
  <si>
    <t>JBizal@columbia.com</t>
  </si>
  <si>
    <t>2024-01-31 19:36:31 -0800 PST</t>
  </si>
  <si>
    <t>2024-01-31 19:37:52 -0800 PST</t>
  </si>
  <si>
    <t>SHer@columbia.com</t>
  </si>
  <si>
    <t>2024-02-01 20:03:57 -0800 PST</t>
  </si>
  <si>
    <t>2024-02-01 22:58:34 -0800 PST</t>
  </si>
  <si>
    <t>2024-02-02 00:43:44 -0800 PST</t>
  </si>
  <si>
    <t>2024-02-02 10:02:00 -0800 PST</t>
  </si>
  <si>
    <t>2024-02-02 10:02:11 -0800 PST</t>
  </si>
  <si>
    <t>2024-02-02 11:28:52 -0800 PST</t>
  </si>
  <si>
    <t>Brenda Oliveri</t>
  </si>
  <si>
    <t>BOliveri@columbia.com</t>
  </si>
  <si>
    <t xml:space="preserve">Good to see </t>
  </si>
  <si>
    <t>2024-02-02 11:35:50 -0800 PST</t>
  </si>
  <si>
    <t>2024-02-02 11:46:32 -0800 PST</t>
  </si>
  <si>
    <t>2024-02-02 11:46:44 -0800 PST</t>
  </si>
  <si>
    <t>2024-02-02 11:47:20 -0800 PST</t>
  </si>
  <si>
    <t>2024-02-02 16:08:31 -0800 PST</t>
  </si>
  <si>
    <t>2024-02-02 16:09:40 -0800 PST</t>
  </si>
  <si>
    <t>2024-02-02 16:21:03 -0800 PST</t>
  </si>
  <si>
    <t>2024-02-03 08:46:34 -0800 PST</t>
  </si>
  <si>
    <t>2024-02-03 08:50:12 -0800 PST</t>
  </si>
  <si>
    <t>2024-02-03 11:49:53 -0800 PST</t>
  </si>
  <si>
    <t>2024-02-04 16:43:52 -0800 PST</t>
  </si>
  <si>
    <t>I observed great technique from an associate and they demonstrated great safety by staying in the green zone and not putting strain on different parts of the body.</t>
  </si>
  <si>
    <t>2024-02-04 16:55:44 -0800 PST</t>
  </si>
  <si>
    <t>Watched associate and their technique while using a tape gun. They had great technique where they would strain or hurt their wrist if they were to do this same position all day. Stayed with int he green zone and positioned wrist very well.</t>
  </si>
  <si>
    <t>2024-02-04 17:03:27 -0800 PST</t>
  </si>
  <si>
    <t xml:space="preserve">Observed associate not doing the proper technique and staying in the red zone a lot. I demonstrated the proper way and how to position themselves. After I was able to demonstrate and observe them again, they were able to work safely and not cause injury. </t>
  </si>
  <si>
    <t>2024-02-05 18:10:51 -0800 PST</t>
  </si>
  <si>
    <t>2024-02-05 19:53:38 -0800 PST</t>
  </si>
  <si>
    <t>2024-02-06 01:03:17 -0800 PST</t>
  </si>
  <si>
    <t>2024-02-06 17:20:25 -0800 PST</t>
  </si>
  <si>
    <t>2024-02-06 19:02:26 -0800 PST</t>
  </si>
  <si>
    <t>2024-02-06 19:04:45 -0800 PST</t>
  </si>
  <si>
    <t>2024-02-06 19:06:10 -0800 PST</t>
  </si>
  <si>
    <t>2024-02-06 21:27:27 -0800 PST</t>
  </si>
  <si>
    <t>2024-02-08 15:43:55 -0800 PST</t>
  </si>
  <si>
    <t>2024-02-08 18:27:31 -0800 PST</t>
  </si>
  <si>
    <t>2024-02-08 18:36:26 -0800 PST</t>
  </si>
  <si>
    <t>2024-02-08 22:40:14 -0800 PST</t>
  </si>
  <si>
    <t xml:space="preserve">Ee modeled proper technique blue# 3. </t>
  </si>
  <si>
    <t>2024-02-08 22:43:29 -0800 PST</t>
  </si>
  <si>
    <t>Ee modeled proper technique # 8 green</t>
  </si>
  <si>
    <t>2024-02-08 23:16:15 -0800 PST</t>
  </si>
  <si>
    <t>Ee modeled proper technique blue#8</t>
  </si>
  <si>
    <t>2024-02-08 23:25:52 -0800 PST</t>
  </si>
  <si>
    <t>Ee modeled proper technique blue 28</t>
  </si>
  <si>
    <t>2024-02-09 00:45:20 -0800 PST</t>
  </si>
  <si>
    <t>2024-02-09 00:45:50 -0800 PST</t>
  </si>
  <si>
    <t>2024-02-09 00:46:22 -0800 PST</t>
  </si>
  <si>
    <t>2024-02-09 01:09:23 -0800 PST</t>
  </si>
  <si>
    <t>2024-02-09 01:24:54 -0800 PST</t>
  </si>
  <si>
    <t>2024-02-09 10:26:52 -0800 PST</t>
  </si>
  <si>
    <t>ITipton@columbia.com</t>
  </si>
  <si>
    <t>2024-02-09 12:13:12 -0800 PST</t>
  </si>
  <si>
    <t>2024-02-09 12:15:47 -0800 PST</t>
  </si>
  <si>
    <t>2024-02-10 15:32:11 -0800 PST</t>
  </si>
  <si>
    <t>2024-02-10 15:34:21 -0800 PST</t>
  </si>
  <si>
    <t>2024-02-11 12:46:16 -0800 PST</t>
  </si>
  <si>
    <t>Observed great technique, the associate stayed in the green zone. I didnâ€™t have to show anything different.</t>
  </si>
  <si>
    <t>2024-02-11 12:51:51 -0800 PST</t>
  </si>
  <si>
    <t xml:space="preserve">Very safe performing associate, had great wrist action that will not cause injury. </t>
  </si>
  <si>
    <t>2024-02-11 12:55:01 -0800 PST</t>
  </si>
  <si>
    <t>Associate was a little out of the green zone with would cause some strain on the body but I was able to demonstrate the proper way. After demonstration the associate was working a lot safer.</t>
  </si>
  <si>
    <t>2024-02-11 15:38:14 -0800 PST</t>
  </si>
  <si>
    <t>2024-02-13 18:43:04 -0800 PST</t>
  </si>
  <si>
    <t>2024-02-13 18:47:20 -0800 PST</t>
  </si>
  <si>
    <t>2024-02-13 22:41:54 -0800 PST</t>
  </si>
  <si>
    <t>2024-02-13 22:42:35 -0800 PST</t>
  </si>
  <si>
    <t>2024-02-14 22:55:10 -0800 PST</t>
  </si>
  <si>
    <t>2024-02-15 01:11:25 -0800 PST</t>
  </si>
  <si>
    <t>2024-02-15 12:14:50 -0800 PST</t>
  </si>
  <si>
    <t>2024-02-15 12:15:08 -0800 PST</t>
  </si>
  <si>
    <t>2024-02-15 13:21:11 -0800 PST</t>
  </si>
  <si>
    <t>2024-02-15 17:46:45 -0800 PST</t>
  </si>
  <si>
    <t>2024-02-15 17:54:21 -0800 PST</t>
  </si>
  <si>
    <t>2024-02-15 19:08:05 -0800 PST</t>
  </si>
  <si>
    <t>2024-02-15 19:08:18 -0800 PST</t>
  </si>
  <si>
    <t>2024-02-15 19:08:41 -0800 PST</t>
  </si>
  <si>
    <t>2024-02-15 22:15:58 -0800 PST</t>
  </si>
  <si>
    <t>2024-02-16 00:32:07 -0800 PST</t>
  </si>
  <si>
    <t xml:space="preserve">Ee modeled proper technique #3 blue.  </t>
  </si>
  <si>
    <t>2024-02-16 00:35:05 -0800 PST</t>
  </si>
  <si>
    <t>Ee modeled proper technique #4 green</t>
  </si>
  <si>
    <t>2024-02-16 00:37:01 -0800 PST</t>
  </si>
  <si>
    <t xml:space="preserve">Ee modeled proper technique # 2 green </t>
  </si>
  <si>
    <t>2024-02-16 00:38:34 -0800 PST</t>
  </si>
  <si>
    <t xml:space="preserve">Ee modeled proper technique #6 green </t>
  </si>
  <si>
    <t>2024-02-16 00:40:03 -0800 PST</t>
  </si>
  <si>
    <t xml:space="preserve">Ee modeled proper technique #8 green </t>
  </si>
  <si>
    <t>2024-02-16 00:41:22 -0800 PST</t>
  </si>
  <si>
    <t xml:space="preserve">Ee modeled proper technique # 12 green </t>
  </si>
  <si>
    <t>2024-02-16 00:42:39 -0800 PST</t>
  </si>
  <si>
    <t xml:space="preserve">Ee modeled proper technique # 13 blue </t>
  </si>
  <si>
    <t>2024-02-16 00:44:06 -0800 PST</t>
  </si>
  <si>
    <t xml:space="preserve">Ee modeled proper technique # 18 green </t>
  </si>
  <si>
    <t>2024-02-16 01:20:24 -0800 PST</t>
  </si>
  <si>
    <t>2024-02-16 11:37:14 -0800 PST</t>
  </si>
  <si>
    <t>2024-02-16 11:37:52 -0800 PST</t>
  </si>
  <si>
    <t>2024-02-16 11:38:02 -0800 PST</t>
  </si>
  <si>
    <t>2024-02-16 12:42:48 -0800 PST</t>
  </si>
  <si>
    <t xml:space="preserve">She kept her elbows close while pulling totes closer. </t>
  </si>
  <si>
    <t>2024-02-16 12:43:57 -0800 PST</t>
  </si>
  <si>
    <t xml:space="preserve">She carried the runner bag properly. </t>
  </si>
  <si>
    <t>2024-02-16 12:49:26 -0800 PST</t>
  </si>
  <si>
    <t xml:space="preserve">Watched vidieo </t>
  </si>
  <si>
    <t>2024-02-16 12:50:06 -0800 PST</t>
  </si>
  <si>
    <t xml:space="preserve">Watched a TM from Inbound carry a carton properly up the stairs to the Tower. </t>
  </si>
  <si>
    <t>2024-02-16 12:50:56 -0800 PST</t>
  </si>
  <si>
    <t xml:space="preserve">She had good wrist position when putting up the chute door. </t>
  </si>
  <si>
    <t>2024-02-16 12:52:29 -0800 PST</t>
  </si>
  <si>
    <t xml:space="preserve">She bent her knees while turned sideways when she pulled out he garbage can. </t>
  </si>
  <si>
    <t>2024-02-16 12:53:48 -0800 PST</t>
  </si>
  <si>
    <t xml:space="preserve">Did a pivot when she pulled a stack of totes off the pallet. </t>
  </si>
  <si>
    <t>2024-02-16 12:59:27 -0800 PST</t>
  </si>
  <si>
    <t xml:space="preserve">Watched video </t>
  </si>
  <si>
    <t>2024-02-16 13:22:23 -0800 PST</t>
  </si>
  <si>
    <t>2024-02-18 16:52:44 -0800 PST</t>
  </si>
  <si>
    <t>I observed a great technique and no strain on the wrist at all. Stayed in the green zone and worked safely. Didnâ€™t need to correct anything.</t>
  </si>
  <si>
    <t>2024-02-18 16:56:19 -0800 PST</t>
  </si>
  <si>
    <t xml:space="preserve">I observed an associate who struggled with this technique, was putting a lot of strain on his wrist. I was able to demonstrate the proper way of this technique and made sure they stayed in the green zone. Associate got better after repetition. </t>
  </si>
  <si>
    <t>Step closer</t>
  </si>
  <si>
    <t>Step up</t>
  </si>
  <si>
    <t>2024-02-19 21:34:09 -0800 PST</t>
  </si>
  <si>
    <t>2024-02-21 00:49:43 -0800 PST</t>
  </si>
  <si>
    <t>2024-02-21 00:49:58 -0800 PST</t>
  </si>
  <si>
    <t>2024-02-21 17:14:37 -0800 PST</t>
  </si>
  <si>
    <t>2024-02-21 17:17:38 -0800 PST</t>
  </si>
  <si>
    <t>Set the load down then slide it away</t>
  </si>
  <si>
    <t>2024-02-22 20:42:46 -0800 PST</t>
  </si>
  <si>
    <t>2024-02-22 21:20:27 -0800 PST</t>
  </si>
  <si>
    <t>Ee modeled proper technique with tote.  Blue#4</t>
  </si>
  <si>
    <t>2024-02-22 21:24:49 -0800 PST</t>
  </si>
  <si>
    <t xml:space="preserve">Ee modeled proper technique </t>
  </si>
  <si>
    <t>2024-02-22 21:27:24 -0800 PST</t>
  </si>
  <si>
    <t>2024-02-22 21:32:08 -0800 PST</t>
  </si>
  <si>
    <t>Ee modeled proper technique red#6</t>
  </si>
  <si>
    <t>2024-02-22 21:33:45 -0800 PST</t>
  </si>
  <si>
    <t>2024-02-22 21:35:41 -0800 PST</t>
  </si>
  <si>
    <t>2024-02-22 21:37:03 -0800 PST</t>
  </si>
  <si>
    <t>Ee modeled proper technique green 11</t>
  </si>
  <si>
    <t>2024-02-22 21:37:44 -0800 PST</t>
  </si>
  <si>
    <t>2024-02-22 21:38:44 -0800 PST</t>
  </si>
  <si>
    <t>Ee modeled proper technique red 14</t>
  </si>
  <si>
    <t>2024-02-22 21:40:14 -0800 PST</t>
  </si>
  <si>
    <t>Ee modeled proper technique green 15</t>
  </si>
  <si>
    <t>2024-02-22 21:42:07 -0800 PST</t>
  </si>
  <si>
    <t>Ee modeled proper technique green 17</t>
  </si>
  <si>
    <t>2024-02-22 21:43:50 -0800 PST</t>
  </si>
  <si>
    <t>Ee modeled proper technique red 20</t>
  </si>
  <si>
    <t>2024-02-22 21:45:13 -0800 PST</t>
  </si>
  <si>
    <t>Ee modeled proper technique green 19</t>
  </si>
  <si>
    <t>2024-02-22 21:46:20 -0800 PST</t>
  </si>
  <si>
    <t>Ee modeled proper technique green 21</t>
  </si>
  <si>
    <t>2024-02-22 21:47:29 -0800 PST</t>
  </si>
  <si>
    <t>Ee modeled proper technique red 24</t>
  </si>
  <si>
    <t>2024-02-22 21:49:04 -0800 PST</t>
  </si>
  <si>
    <t>Ee modeled proper technique green 23</t>
  </si>
  <si>
    <t>2024-02-22 22:14:02 -0800 PST</t>
  </si>
  <si>
    <t>2024-02-22 22:45:06 -0800 PST</t>
  </si>
  <si>
    <t>Stephan Moriarty</t>
  </si>
  <si>
    <t>Stephan.Moriarty@columbia.com</t>
  </si>
  <si>
    <t>Active - P4 Scanlab</t>
  </si>
  <si>
    <t>2024-02-22 23:34:09 -0800 PST</t>
  </si>
  <si>
    <t>2024-02-22 23:51:19 -0800 PST</t>
  </si>
  <si>
    <t>2024-02-23 00:16:14 -0800 PST</t>
  </si>
  <si>
    <t>2024-02-23 00:16:36 -0800 PST</t>
  </si>
  <si>
    <t>2024-02-23 00:16:56 -0800 PST</t>
  </si>
  <si>
    <t>2024-02-23 02:00:11 -0800 PST</t>
  </si>
  <si>
    <t>2024-02-23 02:00:32 -0800 PST</t>
  </si>
  <si>
    <t>2024-02-23 09:02:40 -0800 PST</t>
  </si>
  <si>
    <t>2024-02-23 09:04:14 -0800 PST</t>
  </si>
  <si>
    <t>2024-02-23 12:07:47 -0800 PST</t>
  </si>
  <si>
    <t>2024-02-23 12:08:06 -0800 PST</t>
  </si>
  <si>
    <t>2024-02-23 12:08:40 -0800 PST</t>
  </si>
  <si>
    <t>2024-02-26 09:59:46 -0800 PST</t>
  </si>
  <si>
    <t xml:space="preserve">As she grabbed her radio off the desk she was mindful of her positioning. </t>
  </si>
  <si>
    <t>2024-02-26 10:01:09 -0800 PST</t>
  </si>
  <si>
    <t xml:space="preserve">She bent down properly as she emptied all the garbages. </t>
  </si>
  <si>
    <t>2024-02-26 10:02:14 -0800 PST</t>
  </si>
  <si>
    <t xml:space="preserve">As he moved a stack of totes off a pallet he had a good back position. </t>
  </si>
  <si>
    <t>2024-02-26 10:04:13 -0800 PST</t>
  </si>
  <si>
    <t xml:space="preserve">She brought a carton to her work station. She placed the corner first and then slid the rest of the carton on the table. </t>
  </si>
  <si>
    <t>2024-02-26 18:01:01 -0800 PST</t>
  </si>
  <si>
    <t>2024-02-26 20:19:48 -0800 PST</t>
  </si>
  <si>
    <t>Lifting Options</t>
  </si>
  <si>
    <t>Getting Help</t>
  </si>
  <si>
    <t>2024-02-27 10:04:33 -0800 PST</t>
  </si>
  <si>
    <t>2024-02-28 11:42:51 -0800 PST</t>
  </si>
  <si>
    <t>2024-02-28 16:25:41 -0800 PST</t>
  </si>
  <si>
    <t>2024-02-28 17:05:31 -0800 PST</t>
  </si>
  <si>
    <t>Triangle of Vision</t>
  </si>
  <si>
    <t>2024-02-28 21:42:33 -0800 PST</t>
  </si>
  <si>
    <t>2024-02-29 16:28:09 -0800 PST</t>
  </si>
  <si>
    <t>2024-02-29 17:15:06 -0800 PST</t>
  </si>
  <si>
    <t>2024-02-29 19:21:15 -0800 PST</t>
  </si>
  <si>
    <t>2024-02-29 21:02:26 -0800 PST</t>
  </si>
  <si>
    <t>2024-02-29 21:03:21 -0800 PST</t>
  </si>
  <si>
    <t>2024-02-29 21:05:14 -0800 PST</t>
  </si>
  <si>
    <t>2024-03-01 00:37:43 -0800 PST</t>
  </si>
  <si>
    <t>2024-03-01 00:59:05 -0800 PST</t>
  </si>
  <si>
    <t>2024-03-01 01:11:51 -0800 PST</t>
  </si>
  <si>
    <t>2024-03-01 10:20:55 -0800 PST</t>
  </si>
  <si>
    <t xml:space="preserve">Watched the video </t>
  </si>
  <si>
    <t>2024-03-01 10:49:40 -0800 PST</t>
  </si>
  <si>
    <t>2024-03-01 11:00:37 -0800 PST</t>
  </si>
  <si>
    <t>2024-03-03 08:27:20 -0800 PST</t>
  </si>
  <si>
    <t>2024-03-03 08:30:38 -0800 PST</t>
  </si>
  <si>
    <t>2024-03-05 01:18:07 -0800 PST</t>
  </si>
  <si>
    <t>2024-03-05 07:18:31 -0800 PST</t>
  </si>
  <si>
    <t>2024-03-05 07:19:07 -0800 PST</t>
  </si>
  <si>
    <t>2024-03-05 07:19:14 -0800 PST</t>
  </si>
  <si>
    <t>2024-03-05 09:44:08 -0800 PST</t>
  </si>
  <si>
    <t>Nyla Pope</t>
  </si>
  <si>
    <t>npope@columbia.com</t>
  </si>
  <si>
    <t>2024-03-06 00:16:34 -0800 PST</t>
  </si>
  <si>
    <t>2024-03-06 10:18:25 -0800 PST</t>
  </si>
  <si>
    <t>2024-03-06 10:24:54 -0800 PST</t>
  </si>
  <si>
    <t>2024-03-07 00:01:16 -0800 PST</t>
  </si>
  <si>
    <t>2024-03-07 01:11:34 -0800 PST</t>
  </si>
  <si>
    <t>2024-03-07 17:15:14 -0800 PST</t>
  </si>
  <si>
    <t>2024-03-07 20:27:35 -0800 PST</t>
  </si>
  <si>
    <t>2024-03-07 21:10:57 -0800 PST</t>
  </si>
  <si>
    <t>2024-03-07 22:06:50 -0800 PST</t>
  </si>
  <si>
    <t>2024-03-07 23:23:51 -0800 PST</t>
  </si>
  <si>
    <t>2024-03-08 00:01:46 -0800 PST</t>
  </si>
  <si>
    <t>2024-03-08 00:01:56 -0800 PST</t>
  </si>
  <si>
    <t>2024-03-08 00:02:10 -0800 PST</t>
  </si>
  <si>
    <t>2024-03-08 00:10:02 -0800 PST</t>
  </si>
  <si>
    <t>2024-03-08 00:36:02 -0800 PST</t>
  </si>
  <si>
    <t>2024-03-08 00:37:16 -0800 PST</t>
  </si>
  <si>
    <t>2024-03-08 00:43:40 -0800 PST</t>
  </si>
  <si>
    <t>2024-03-08 05:27:26 -0800 PST</t>
  </si>
  <si>
    <t>2024-03-08 05:28:05 -0800 PST</t>
  </si>
  <si>
    <t>2024-03-08 05:28:21 -0800 PST</t>
  </si>
  <si>
    <t>2024-03-08 10:58:26 -0800 PST</t>
  </si>
  <si>
    <t>2024-03-08 11:12:08 -0800 PST</t>
  </si>
  <si>
    <t>2024-03-08 11:20:29 -0800 PST</t>
  </si>
  <si>
    <t>2024-03-10 05:45:34 -0700 PDT</t>
  </si>
  <si>
    <t>2024-03-10 05:46:09 -0700 PDT</t>
  </si>
  <si>
    <t>2024-03-10 05:50:38 -0700 PDT</t>
  </si>
  <si>
    <t>2024-03-10 05:51:25 -0700 PDT</t>
  </si>
  <si>
    <t>2024-03-10 05:56:07 -0700 PDT</t>
  </si>
  <si>
    <t>2024-03-10 10:12:45 -0700 PDT</t>
  </si>
  <si>
    <t>I observed an associate doing this technique wrong and provided feedback for them to be able to stay in the green zone so they wouldnâ€™t strain their back. After demonstrating the proper technique the associate was able to perform the task correctly and safely</t>
  </si>
  <si>
    <t>2024-03-10 10:35:43 -0700 PDT</t>
  </si>
  <si>
    <t>I observed a great technique by the associate. Stayed in the green zone, didnâ€™t put stress on the wrist or elbows. Didnâ€™t have anything to critique.</t>
  </si>
  <si>
    <t>Using Equipment</t>
  </si>
  <si>
    <t>2024-03-10 10:43:27 -0700 PDT</t>
  </si>
  <si>
    <t>Had an associate who needed help moving some pallets. Did what he was suppose to do and asked for help but both associates were able to stay in the green zone to complete the task at hand. Communicated well so that they both would be safe while working</t>
  </si>
  <si>
    <t>2024-03-11 16:37:11 -0700 PDT</t>
  </si>
  <si>
    <t>2024-03-12 18:02:55 -0700 PDT</t>
  </si>
  <si>
    <t>2024-03-13 00:33:01 -0700 PDT</t>
  </si>
  <si>
    <t>2024-03-13 09:18:51 -0700 PDT</t>
  </si>
  <si>
    <t>2024-03-13 09:18:58 -0700 PDT</t>
  </si>
  <si>
    <t>2024-03-13 09:19:28 -0700 PDT</t>
  </si>
  <si>
    <t>2024-03-13 23:56:53 -0700 PDT</t>
  </si>
  <si>
    <t>2024-03-14 22:02:29 -0700 PDT</t>
  </si>
  <si>
    <t>Red#21    Ee understands subject.</t>
  </si>
  <si>
    <t>2024-03-14 22:04:50 -0700 PDT</t>
  </si>
  <si>
    <t>Red #19 Ee understands subject</t>
  </si>
  <si>
    <t>2024-03-14 22:06:38 -0700 PDT</t>
  </si>
  <si>
    <t>Red#15. Ee understands subject.</t>
  </si>
  <si>
    <t>2024-03-14 22:08:21 -0700 PDT</t>
  </si>
  <si>
    <t xml:space="preserve">Yellow#12. Ee modeled proper technique </t>
  </si>
  <si>
    <t>2024-03-14 22:09:48 -0700 PDT</t>
  </si>
  <si>
    <t xml:space="preserve">Yellow 10. Ee modeled proper technique </t>
  </si>
  <si>
    <t>2024-03-14 22:11:32 -0700 PDT</t>
  </si>
  <si>
    <t xml:space="preserve">Red 9.  Ee modeled proper technique </t>
  </si>
  <si>
    <t>2024-03-14 22:12:59 -0700 PDT</t>
  </si>
  <si>
    <t xml:space="preserve">Red 7.  Modeled proper technique </t>
  </si>
  <si>
    <t>2024-03-14 22:14:17 -0700 PDT</t>
  </si>
  <si>
    <t xml:space="preserve">Red #3. Ee modeled proper technique </t>
  </si>
  <si>
    <t>2024-03-14 22:31:13 -0700 PDT</t>
  </si>
  <si>
    <t>2024-03-15 00:00:11 -0700 PDT</t>
  </si>
  <si>
    <t xml:space="preserve">Blue #18. Ee modeled proper technique </t>
  </si>
  <si>
    <t>2024-03-15 00:01:46 -0700 PDT</t>
  </si>
  <si>
    <t xml:space="preserve">Blue #20 Ee modeled proper technique </t>
  </si>
  <si>
    <t>2024-03-15 00:03:24 -0700 PDT</t>
  </si>
  <si>
    <t xml:space="preserve">Blue#22. Ee modeled proper technique </t>
  </si>
  <si>
    <t>2024-03-15 00:07:11 -0700 PDT</t>
  </si>
  <si>
    <t>2024-03-15 00:38:00 -0700 PDT</t>
  </si>
  <si>
    <t>2024-03-15 00:40:42 -0700 PDT</t>
  </si>
  <si>
    <t>2024-03-15 00:41:06 -0700 PDT</t>
  </si>
  <si>
    <t>2024-03-15 01:04:46 -0700 PDT</t>
  </si>
  <si>
    <t>2024-03-15 01:25:32 -0700 PDT</t>
  </si>
  <si>
    <t>Flex Knees</t>
  </si>
  <si>
    <t>2024-03-15 09:13:50 -0700 PDT</t>
  </si>
  <si>
    <t>2024-03-15 12:12:25 -0700 PDT</t>
  </si>
  <si>
    <t>2024-03-17 07:42:41 -0700 PDT</t>
  </si>
  <si>
    <t xml:space="preserve">Watched an associate that was able to use the proper equipment to lift a pallet instead of having to move the product a different way that would have created more hassle and may not have been as safe. </t>
  </si>
  <si>
    <t>2024-03-17 10:20:40 -0700 PDT</t>
  </si>
  <si>
    <t xml:space="preserve">I observed an associate loading a cart with replenishment and turning from the spurs to their cart and not doing the movements correctly. They were not turning their body all the way and could have created an injury. I then demonstrated what to do and how to do the technique correctly and to stay in the green zone. Once they were able to do it again they were doing it correctly and they started to work safely. </t>
  </si>
  <si>
    <t>2024-03-17 14:11:11 -0700 PDT</t>
  </si>
  <si>
    <t>2024-03-17 15:07:56 -0700 PDT</t>
  </si>
  <si>
    <t>I observed my associate having to climb a ladder to get a unit off the sorter. He was able to position himself in the green zone and never overextended his body. He was able to do the perfect technique. Had nothing to critique.</t>
  </si>
  <si>
    <t>2024-03-19 10:09:48 -0700 PDT</t>
  </si>
  <si>
    <t>2024-03-19 10:14:47 -0700 PDT</t>
  </si>
  <si>
    <t>Associates station was higher than it should be for her height, which caused her elbows to be higher as well as putting some strain on her shoulders. Suggested that she lower her station some, to make it a little more comfortable.</t>
  </si>
  <si>
    <t>2024-03-19 18:03:24 -0700 PDT</t>
  </si>
  <si>
    <t>2024-03-20 00:57:14 -0700 PDT</t>
  </si>
  <si>
    <t>2024-03-20 07:35:28 -0700 PDT</t>
  </si>
  <si>
    <t>2024-03-20 17:25:23 -0700 PDT</t>
  </si>
  <si>
    <t>2024-03-20 18:48:31 -0700 PDT</t>
  </si>
  <si>
    <t>2024-03-20 18:48:59 -0700 PDT</t>
  </si>
  <si>
    <t>2024-03-21 00:21:12 -0700 PDT</t>
  </si>
  <si>
    <t>Ee modeled proper technique. Green # 2</t>
  </si>
  <si>
    <t>2024-03-21 00:22:50 -0700 PDT</t>
  </si>
  <si>
    <t>Ee modeled proper technique. Green# 4</t>
  </si>
  <si>
    <t>2024-03-21 00:24:21 -0700 PDT</t>
  </si>
  <si>
    <t>Ee modeled proper technique blue #3</t>
  </si>
  <si>
    <t>2024-03-21 00:26:06 -0700 PDT</t>
  </si>
  <si>
    <t>Ee modeled proper technique blue #5</t>
  </si>
  <si>
    <t>2024-03-21 00:27:34 -0700 PDT</t>
  </si>
  <si>
    <t>Ee modeled proper technique green #6</t>
  </si>
  <si>
    <t>2024-03-21 00:29:10 -0700 PDT</t>
  </si>
  <si>
    <t>Ee modeled proper technique green #18</t>
  </si>
  <si>
    <t>2024-03-21 00:30:36 -0700 PDT</t>
  </si>
  <si>
    <t>Ee modeled proper technique green #20</t>
  </si>
  <si>
    <t>2024-03-21 00:32:48 -0700 PDT</t>
  </si>
  <si>
    <t>Ee modeled proper technique green #5</t>
  </si>
  <si>
    <t>2024-03-21 00:34:19 -0700 PDT</t>
  </si>
  <si>
    <t>Ee modeled proper technique green #7</t>
  </si>
  <si>
    <t>2024-03-21 00:35:44 -0700 PDT</t>
  </si>
  <si>
    <t>Ee modeled proper technique red# 8</t>
  </si>
  <si>
    <t>2024-03-21 00:37:09 -0700 PDT</t>
  </si>
  <si>
    <t>Ee modeled proper technique green #11</t>
  </si>
  <si>
    <t>2024-03-21 00:38:34 -0700 PDT</t>
  </si>
  <si>
    <t>Ee modeled proper technique red #14</t>
  </si>
  <si>
    <t>2024-03-21 00:39:55 -0700 PDT</t>
  </si>
  <si>
    <t>2024-03-21 00:41:31 -0700 PDT</t>
  </si>
  <si>
    <t>Ee modeled proper technique green #17</t>
  </si>
  <si>
    <t>2024-03-21 05:28:57 -0700 PDT</t>
  </si>
  <si>
    <t>2024-03-21 11:33:16 -0700 PDT</t>
  </si>
  <si>
    <t>2024-03-21 11:35:53 -0700 PDT</t>
  </si>
  <si>
    <t>2024-03-21 12:12:29 -0700 PDT</t>
  </si>
  <si>
    <t>2024-03-21 20:42:40 -0700 PDT</t>
  </si>
  <si>
    <t>2024-03-21 22:40:52 -0700 PDT</t>
  </si>
  <si>
    <t>Tabitha Arnett</t>
  </si>
  <si>
    <t>TaArnett@columbia.com</t>
  </si>
  <si>
    <t>2024-03-21 22:54:15 -0700 PDT</t>
  </si>
  <si>
    <t>2024-03-21 23:06:08 -0700 PDT</t>
  </si>
  <si>
    <t>2024-03-21 23:16:54 -0700 PDT</t>
  </si>
  <si>
    <t>2024-03-22 00:35:56 -0700 PDT</t>
  </si>
  <si>
    <t>2024-03-22 01:51:32 -0700 PDT</t>
  </si>
  <si>
    <t>2024-03-22 08:57:37 -0700 PDT</t>
  </si>
  <si>
    <t>2024-03-22 10:02:54 -0700 PDT</t>
  </si>
  <si>
    <t>2024-03-22 10:23:51 -0700 PDT</t>
  </si>
  <si>
    <t>2024-03-22 11:22:55 -0700 PDT</t>
  </si>
  <si>
    <t>2024-03-17 14:17:28 -0700 PDT</t>
  </si>
  <si>
    <t>2024-03-23 08:23:58 -0700 PDT</t>
  </si>
  <si>
    <t>2024-03-23 08:26:23 -0700 PDT</t>
  </si>
  <si>
    <t>2024-03-23 08:30:44 -0700 PDT</t>
  </si>
  <si>
    <t>2024-03-25 09:17:10 -0700 PDT</t>
  </si>
  <si>
    <t xml:space="preserve">I observed her moving a stack of totes from the pallet to the bank with good motions. </t>
  </si>
  <si>
    <t>2024-03-25 09:18:26 -0700 PDT</t>
  </si>
  <si>
    <t xml:space="preserve">Our driver uses good movements when moving totes from pallet to pallet. </t>
  </si>
  <si>
    <t>2024-03-25 09:18:57 -0700 PDT</t>
  </si>
  <si>
    <t xml:space="preserve">She used good movements when restocking her totes. </t>
  </si>
  <si>
    <t>2024-03-25 09:19:44 -0700 PDT</t>
  </si>
  <si>
    <t xml:space="preserve">She uses good techniques when restocking her totes. </t>
  </si>
  <si>
    <t>2024-03-25 09:21:06 -0700 PDT</t>
  </si>
  <si>
    <t xml:space="preserve">I observed her hold her runner bag keeping her elbow in. </t>
  </si>
  <si>
    <t>2024-03-25 09:22:43 -0700 PDT</t>
  </si>
  <si>
    <t xml:space="preserve">I watched him use good wrist positions with the scanner at the singles location. </t>
  </si>
  <si>
    <t>2024-03-25 09:29:03 -0700 PDT</t>
  </si>
  <si>
    <t xml:space="preserve">She lifted the totes off the bottom of the pallet while bending at the knees properly. </t>
  </si>
  <si>
    <t>2024-03-25 09:30:09 -0700 PDT</t>
  </si>
  <si>
    <t xml:space="preserve">She bent her knees properly while reach for the garbage can. </t>
  </si>
  <si>
    <t>2024-03-25 09:51:22 -0700 PDT</t>
  </si>
  <si>
    <t xml:space="preserve">As she grabbed the rf off the desk she used good pivots. </t>
  </si>
  <si>
    <t>2024-03-25 09:52:07 -0700 PDT</t>
  </si>
  <si>
    <t xml:space="preserve">He used good movements pulling totes off the he pallet. </t>
  </si>
  <si>
    <t>2024-03-25 10:02:23 -0700 PDT</t>
  </si>
  <si>
    <t xml:space="preserve">I observed her picking garbage off the floor while bending her knees and good placement of her back. </t>
  </si>
  <si>
    <t>2024-03-25 10:03:30 -0700 PDT</t>
  </si>
  <si>
    <t xml:space="preserve">I watched him use good movements while moving cartons of tape with a hand truck. </t>
  </si>
  <si>
    <t>2024-03-25 19:03:18 -0700 PDT</t>
  </si>
  <si>
    <t>2024-03-26 21:51:01 -0700 PDT</t>
  </si>
  <si>
    <t>2024-03-26 21:51:35 -0700 PDT</t>
  </si>
  <si>
    <t>2024-03-26 22:44:59 -0700 PDT</t>
  </si>
  <si>
    <t>2024-03-27 01:08:28 -0700 PDT</t>
  </si>
  <si>
    <t>2024-03-27 01:08:41 -0700 PDT</t>
  </si>
  <si>
    <t>2024-03-27 12:02:19 -0700 PDT</t>
  </si>
  <si>
    <t>2024-03-27 12:02:50 -0700 PDT</t>
  </si>
  <si>
    <t>2024-03-27 12:02:55 -0700 PDT</t>
  </si>
  <si>
    <t>2024-03-27 12:15:47 -0700 PDT</t>
  </si>
  <si>
    <t xml:space="preserve">She had good wrist positioning when lifting up the chute door. </t>
  </si>
  <si>
    <t>2024-03-27 12:17:00 -0700 PDT</t>
  </si>
  <si>
    <t xml:space="preserve">She placed her hands and wrists in the correct places when she used the boat hook. </t>
  </si>
  <si>
    <t>2024-03-27 23:51:58 -0700 PDT</t>
  </si>
  <si>
    <t>2024-03-28 00:14:23 -0700 PDT</t>
  </si>
  <si>
    <t>2024-03-28 00:19:59 -0700 PDT</t>
  </si>
  <si>
    <t>2024-03-26 09:59:53 -0700 PDT</t>
  </si>
  <si>
    <t>2024-03-28 06:18:01 -0700 PDT</t>
  </si>
  <si>
    <t>2024-03-28 11:11:21 -0700 PDT</t>
  </si>
  <si>
    <t>All supplies and tools were close by, there was no need to reach out except when putting garment in box.</t>
  </si>
  <si>
    <t>2024-03-28 11:28:50 -0700 PDT</t>
  </si>
  <si>
    <t>2024-03-28 18:27:52 -0700 PDT</t>
  </si>
  <si>
    <t>2024-03-28 21:03:16 -0700 PDT</t>
  </si>
  <si>
    <t>2024-03-28 21:03:26 -0700 PDT</t>
  </si>
  <si>
    <t>2024-03-29 00:36:14 -0700 PDT</t>
  </si>
  <si>
    <t>2024-03-29 05:51:01 -0700 PDT</t>
  </si>
  <si>
    <t>2024-03-29 06:38:24 -0700 PDT</t>
  </si>
  <si>
    <t>2024-03-29 08:29:26 -0700 PDT</t>
  </si>
  <si>
    <t>2024-03-29 08:29:37 -0700 PDT</t>
  </si>
  <si>
    <t>2024-03-29 08:35:07 -0700 PDT</t>
  </si>
  <si>
    <t>2024-03-29 10:50:00 -0700 PDT</t>
  </si>
  <si>
    <t>While using the equipment, everything was done correctly; but when picking up the boxes, he wasnâ€™t lifting with the knees. I talked with them associate about this and explained as well as demonstrated on how to lift. I watched a while longer, to make sure he was lifting correctly and he was.</t>
  </si>
  <si>
    <t>2024-03-29 11:59:40 -0700 PDT</t>
  </si>
  <si>
    <t xml:space="preserve">He did a good pivot moving totes off the pallet. </t>
  </si>
  <si>
    <t>2024-03-29 12:01:07 -0700 PDT</t>
  </si>
  <si>
    <t xml:space="preserve">She grabbed the RF off the counter and pointed her toes inward. As she turned away so did her foot. </t>
  </si>
  <si>
    <t>2024-03-29 12:02:49 -0700 PDT</t>
  </si>
  <si>
    <t xml:space="preserve">When he lifted the pallet off the floor he bent his knees. His back was in a good position. </t>
  </si>
  <si>
    <t>2024-04-03 07:32:10 -0700 PDT</t>
  </si>
  <si>
    <t>2024-04-03 07:32:41 -0700 PDT</t>
  </si>
  <si>
    <t>2024-04-03 07:33:03 -0700 PDT</t>
  </si>
  <si>
    <t>2024-04-03 07:38:38 -0700 PDT</t>
  </si>
  <si>
    <t>2024-04-03 09:14:04 -0700 PDT</t>
  </si>
  <si>
    <t>2024-04-03 09:48:09 -0700 PDT</t>
  </si>
  <si>
    <t>2024-04-03 16:54:11 -0700 PDT</t>
  </si>
  <si>
    <t>2024-04-03 17:09:38 -0700 PDT</t>
  </si>
  <si>
    <t>2024-04-03 22:00:56 -0700 PDT</t>
  </si>
  <si>
    <t>2024-04-03 22:01:09 -0700 PDT</t>
  </si>
  <si>
    <t>2024-04-03 22:36:46 -0700 PDT</t>
  </si>
  <si>
    <t>2024-04-03 23:12:32 -0700 PDT</t>
  </si>
  <si>
    <t>Ee modeled proper technique blue3</t>
  </si>
  <si>
    <t>2024-04-03 23:13:50 -0700 PDT</t>
  </si>
  <si>
    <t>Ee modeled proper technique green4</t>
  </si>
  <si>
    <t>2024-04-03 23:14:56 -0700 PDT</t>
  </si>
  <si>
    <t>Ee modeled proper technique blue5</t>
  </si>
  <si>
    <t>2024-04-03 23:15:12 -0700 PDT</t>
  </si>
  <si>
    <t>2024-04-03 23:16:18 -0700 PDT</t>
  </si>
  <si>
    <t>Ee modeled proper technique blue7</t>
  </si>
  <si>
    <t>2024-04-03 23:17:18 -0700 PDT</t>
  </si>
  <si>
    <t>Ee modeled proper technique green 8</t>
  </si>
  <si>
    <t>2024-04-03 23:18:20 -0700 PDT</t>
  </si>
  <si>
    <t>Ee modeled proper technique green10</t>
  </si>
  <si>
    <t>2024-04-03 23:19:58 -0700 PDT</t>
  </si>
  <si>
    <t>Ee modeled proper technique red2</t>
  </si>
  <si>
    <t>2024-04-03 23:21:07 -0700 PDT</t>
  </si>
  <si>
    <t>Ee modeled proper technique red4</t>
  </si>
  <si>
    <t>2024-04-03 23:21:55 -0700 PDT</t>
  </si>
  <si>
    <t>2024-04-03 23:22:19 -0700 PDT</t>
  </si>
  <si>
    <t>Ee modeled proper technique red6</t>
  </si>
  <si>
    <t>2024-04-03 23:23:17 -0700 PDT</t>
  </si>
  <si>
    <t>Ee modeled proper technique green5</t>
  </si>
  <si>
    <t>2024-04-03 23:24:16 -0700 PDT</t>
  </si>
  <si>
    <t>Ee modeled proper technique green7</t>
  </si>
  <si>
    <t>2024-04-03 23:25:13 -0700 PDT</t>
  </si>
  <si>
    <t>Ee modeled proper technique red8</t>
  </si>
  <si>
    <t>2024-04-03 23:26:15 -0700 PDT</t>
  </si>
  <si>
    <t>Ee modeled proper technique red10</t>
  </si>
  <si>
    <t>2024-04-03 23:27:17 -0700 PDT</t>
  </si>
  <si>
    <t>Ee modeled proper technique red12</t>
  </si>
  <si>
    <t>2024-04-03 23:28:18 -0700 PDT</t>
  </si>
  <si>
    <t>2024-04-03 23:29:08 -0700 PDT</t>
  </si>
  <si>
    <t>Ee modeled proper technique green 13</t>
  </si>
  <si>
    <t>2024-04-03 23:30:13 -0700 PDT</t>
  </si>
  <si>
    <t>Ee modeled proper technique red14</t>
  </si>
  <si>
    <t>2024-04-03 23:31:18 -0700 PDT</t>
  </si>
  <si>
    <t>2024-04-03 23:32:20 -0700 PDT</t>
  </si>
  <si>
    <t>Ee modeled proper technique red 16</t>
  </si>
  <si>
    <t>2024-04-03 23:33:22 -0700 PDT</t>
  </si>
  <si>
    <t>2024-04-03 23:34:49 -0700 PDT</t>
  </si>
  <si>
    <t>Ee modeled proper technique red18</t>
  </si>
  <si>
    <t>2024-04-03 23:35:53 -0700 PDT</t>
  </si>
  <si>
    <t>Ee modeled proper technique green19</t>
  </si>
  <si>
    <t>2024-04-03 23:36:48 -0700 PDT</t>
  </si>
  <si>
    <t>Ee modeled proper technique red20</t>
  </si>
  <si>
    <t>2024-04-03 23:37:43 -0700 PDT</t>
  </si>
  <si>
    <t>Ee modeled proper technique red22</t>
  </si>
  <si>
    <t>2024-04-03 23:38:43 -0700 PDT</t>
  </si>
  <si>
    <t>Ee modeled proper technique red24</t>
  </si>
  <si>
    <t>2024-04-03 23:39:35 -0700 PDT</t>
  </si>
  <si>
    <t>Ee modeled proper technique green23</t>
  </si>
  <si>
    <t>2024-04-03 23:40:35 -0700 PDT</t>
  </si>
  <si>
    <t>Ee modeled proper technique green 27</t>
  </si>
  <si>
    <t>2024-04-03 23:56:17 -0700 PDT</t>
  </si>
  <si>
    <t>2024-04-04 10:07:44 -0700 PDT</t>
  </si>
  <si>
    <t>2024-04-04 10:08:30 -0700 PDT</t>
  </si>
  <si>
    <t>2024-04-04 12:36:22 -0700 PDT</t>
  </si>
  <si>
    <t xml:space="preserve">She had good positions for her wrists when she put the chute door up. </t>
  </si>
  <si>
    <t>2024-04-04 12:37:07 -0700 PDT</t>
  </si>
  <si>
    <t xml:space="preserve">He held the scanner well as he used it to sigh into the team event. </t>
  </si>
  <si>
    <t>2024-04-04 12:38:30 -0700 PDT</t>
  </si>
  <si>
    <t xml:space="preserve">He positioned himself well when he screwed the screw into the pole. At first he was too low but he corrected this by using a ladder. </t>
  </si>
  <si>
    <t>2024-04-04 17:04:17 -0700 PDT</t>
  </si>
  <si>
    <t>2024-04-04 18:57:11 -0700 PDT</t>
  </si>
  <si>
    <t>2024-04-04 19:55:40 -0700 PDT</t>
  </si>
  <si>
    <t xml:space="preserve">Align your body with the object you are picking up </t>
  </si>
  <si>
    <t>2024-04-04 22:56:41 -0700 PDT</t>
  </si>
  <si>
    <t>Keep your back straight up</t>
  </si>
  <si>
    <t>2024-04-04 23:53:59 -0700 PDT</t>
  </si>
  <si>
    <t>2024-04-05 00:24:17 -0700 PDT</t>
  </si>
  <si>
    <t>2024-04-05 00:25:12 -0700 PDT</t>
  </si>
  <si>
    <t>2024-04-05 00:30:33 -0700 PDT</t>
  </si>
  <si>
    <t>2024-04-05 01:13:29 -0700 PDT</t>
  </si>
  <si>
    <t>2024-04-05 10:50:40 -0700 PDT</t>
  </si>
  <si>
    <t>2024-04-05 10:57:50 -0700 PDT</t>
  </si>
  <si>
    <t>Keeps everything close to her, this way she is able to keep elbows in and not out where is is putting strain on them and arms.</t>
  </si>
  <si>
    <t>2024-04-05 11:19:05 -0700 PDT</t>
  </si>
  <si>
    <t>Reposition the basket, that has the boxes/envelopes to be worked in it so that itâ€™s a little bit closer.</t>
  </si>
  <si>
    <t>2024-04-05 12:53:37 -0700 PDT</t>
  </si>
  <si>
    <t>2024-04-05 12:53:55 -0700 PDT</t>
  </si>
  <si>
    <t>2024-04-05 12:54:06 -0700 PDT</t>
  </si>
  <si>
    <t>2024-04-07 11:44:05 -0700 PDT</t>
  </si>
  <si>
    <t>2024-04-07 11:46:54 -0700 PDT</t>
  </si>
  <si>
    <t>2024-04-07 11:48:14 -0700 PDT</t>
  </si>
  <si>
    <t>2024-04-07 16:21:06 -0700 PDT</t>
  </si>
  <si>
    <t>Observed an associate doing the proper safety technique while handling a heavy box. This associate was able to use the equipment he needed to be able to help him stay in the green zone and not cause any strain on the body</t>
  </si>
  <si>
    <t>2024-04-07 16:28:00 -0700 PDT</t>
  </si>
  <si>
    <t xml:space="preserve">I observed an associate who was putting strain on their wrist while using a tape gun. When I demonstrated the proper way to hold the tape gun that would prevent strain they were able to perform better and safer. </t>
  </si>
  <si>
    <t>2024-04-07 16:37:15 -0700 PDT</t>
  </si>
  <si>
    <t>Observed great technique from associate. Stayed in the green zone and worked well without strain or injury. Nothing to adjust</t>
  </si>
  <si>
    <t>2024-04-08 10:59:33 -0700 PDT</t>
  </si>
  <si>
    <t>Nicole Kuchera</t>
  </si>
  <si>
    <t>Nicole.Kuchera@columbia.com</t>
  </si>
  <si>
    <t>2024-04-08 11:00:35 -0700 PDT</t>
  </si>
  <si>
    <t>2024-04-08 11:03:08 -0700 PDT</t>
  </si>
  <si>
    <t>2024-04-08 11:04:19 -0700 PDT</t>
  </si>
  <si>
    <t>2024-04-08 11:06:44 -0700 PDT</t>
  </si>
  <si>
    <t>2024-04-08 19:37:54 -0700 PDT</t>
  </si>
  <si>
    <t>2024-04-09 01:12:57 -0700 PDT</t>
  </si>
  <si>
    <t>2024-04-09 12:43:49 -0700 PDT</t>
  </si>
  <si>
    <t>Associate is pregnant, she gets as close as she can and still be comfortable while processing.</t>
  </si>
  <si>
    <t>2024-04-09 17:34:10 -0700 PDT</t>
  </si>
  <si>
    <t>2024-04-09 20:36:30 -0700 PDT</t>
  </si>
  <si>
    <t>2024-04-10 00:05:25 -0700 PDT</t>
  </si>
  <si>
    <t>Abdulkadir Mohamed</t>
  </si>
  <si>
    <t>AbMohamed@columbia.com</t>
  </si>
  <si>
    <t>2024-04-10 00:17:05 -0700 PDT</t>
  </si>
  <si>
    <t>2024-04-09 19:15:36 -0700 PDT</t>
  </si>
  <si>
    <t>2024-04-10 00:47:05 -0700 PDT</t>
  </si>
  <si>
    <t xml:space="preserve">Did great job with technique and using legs instead of back_x000D_
</t>
  </si>
  <si>
    <t>2024-04-10 12:05:10 -0700 PDT</t>
  </si>
  <si>
    <t>2024-04-10 12:44:26 -0700 PDT</t>
  </si>
  <si>
    <t>2024-04-10 17:44:03 -0700 PDT</t>
  </si>
  <si>
    <t>2024-04-10 18:14:21 -0700 PDT</t>
  </si>
  <si>
    <t>2024-04-10 23:33:29 -0700 PDT</t>
  </si>
  <si>
    <t>2024-04-10 23:34:14 -0700 PDT</t>
  </si>
  <si>
    <t>2024-04-10 23:59:57 -0700 PDT</t>
  </si>
  <si>
    <t>2024-04-11 00:00:04 -0700 PDT</t>
  </si>
  <si>
    <t>2024-04-11 00:03:07 -0700 PDT</t>
  </si>
  <si>
    <t>2024-04-11 05:41:24 -0700 PDT</t>
  </si>
  <si>
    <t>2024-04-11 09:43:30 -0700 PDT</t>
  </si>
  <si>
    <t>2024-04-11 10:00:31 -0700 PDT</t>
  </si>
  <si>
    <t>2024-04-11 11:08:59 -0700 PDT</t>
  </si>
  <si>
    <t>2024-04-11 11:17:13 -0700 PDT</t>
  </si>
  <si>
    <t>He lifted the stack of totes from one pallet to the tote pallet using the correct pivots.</t>
  </si>
  <si>
    <t>2024-04-11 12:23:50 -0700 PDT</t>
  </si>
  <si>
    <t>2024-04-11 13:12:28 -0700 PDT</t>
  </si>
  <si>
    <t>2024-04-11 16:37:10 -0700 PDT</t>
  </si>
  <si>
    <t>2024-04-11 21:25:37 -0700 PDT</t>
  </si>
  <si>
    <t>2024-04-11 21:26:43 -0700 PDT</t>
  </si>
  <si>
    <t>2024-04-11 21:31:44 -0700 PDT</t>
  </si>
  <si>
    <t>2024-04-11 23:30:45 -0700 PDT</t>
  </si>
  <si>
    <t>2024-04-11 23:50:14 -0700 PDT</t>
  </si>
  <si>
    <t>Travis Miller</t>
  </si>
  <si>
    <t>Travis.Miller@columbia.com</t>
  </si>
  <si>
    <t>2024-04-11 23:53:30 -0700 PDT</t>
  </si>
  <si>
    <t>2024-04-12 00:00:37 -0700 PDT</t>
  </si>
  <si>
    <t>2024-04-13 09:16:38 -0700 PDT</t>
  </si>
  <si>
    <t>2024-04-13 09:25:45 -0700 PDT</t>
  </si>
  <si>
    <t>2024-04-14 14:02:25 -0700 PDT</t>
  </si>
  <si>
    <t>2024-04-17 06:07:36 -0700 PDT</t>
  </si>
  <si>
    <t>2024-04-17 06:08:55 -0700 PDT</t>
  </si>
  <si>
    <t>2024-04-17 06:09:54 -0700 PDT</t>
  </si>
  <si>
    <t>2024-04-17 06:10:03 -0700 PDT</t>
  </si>
  <si>
    <t>2024-04-17 06:11:16 -0700 PDT</t>
  </si>
  <si>
    <t>2024-04-17 06:12:27 -0700 PDT</t>
  </si>
  <si>
    <t>2024-04-17 06:13:14 -0700 PDT</t>
  </si>
  <si>
    <t>2024-04-17 09:44:59 -0700 PDT</t>
  </si>
  <si>
    <t>2024-04-17 09:46:02 -0700 PDT</t>
  </si>
  <si>
    <t>2024-04-17 09:46:08 -0700 PDT</t>
  </si>
  <si>
    <t>2024-04-17 09:46:25 -0700 PDT</t>
  </si>
  <si>
    <t>2024-04-17 20:43:27 -0700 PDT</t>
  </si>
  <si>
    <t>2024-04-17 21:30:17 -0700 PDT</t>
  </si>
  <si>
    <t>2024-04-17 21:35:15 -0700 PDT</t>
  </si>
  <si>
    <t>2024-04-17 21:37:17 -0700 PDT</t>
  </si>
  <si>
    <t>2024-04-17 21:42:44 -0700 PDT</t>
  </si>
  <si>
    <t>2024-04-17 21:45:25 -0700 PDT</t>
  </si>
  <si>
    <t>2024-04-17 22:02:01 -0700 PDT</t>
  </si>
  <si>
    <t>2024-04-17 22:49:47 -0700 PDT</t>
  </si>
  <si>
    <t>2024-04-17 22:51:30 -0700 PDT</t>
  </si>
  <si>
    <t>2024-04-17 23:13:02 -0700 PDT</t>
  </si>
  <si>
    <t>2024-04-17 23:42:36 -0700 PDT</t>
  </si>
  <si>
    <t>2024-04-17 23:56:01 -0700 PDT</t>
  </si>
  <si>
    <t>2024-04-18 00:02:56 -0700 PDT</t>
  </si>
  <si>
    <t>Always pivot when moving do not twist</t>
  </si>
  <si>
    <t>2024-04-18 00:03:38 -0700 PDT</t>
  </si>
  <si>
    <t>Chrisnil Singh</t>
  </si>
  <si>
    <t>Chrisnil.Singh@columbia.com</t>
  </si>
  <si>
    <t xml:space="preserve">Always pivoted toward while moving boxes </t>
  </si>
  <si>
    <t>2024-04-18 00:15:35 -0700 PDT</t>
  </si>
  <si>
    <t>2024-04-18 00:20:02 -0700 PDT</t>
  </si>
  <si>
    <t>2024-04-18 00:40:15 -0700 PDT</t>
  </si>
  <si>
    <t>2024-04-18 06:57:42 -0700 PDT</t>
  </si>
  <si>
    <t>2024-04-18 09:30:25 -0700 PDT</t>
  </si>
  <si>
    <t>2024-04-18 11:02:57 -0700 PDT</t>
  </si>
  <si>
    <t xml:space="preserve">He used his tape gun properly. </t>
  </si>
  <si>
    <t>2024-04-18 11:03:53 -0700 PDT</t>
  </si>
  <si>
    <t xml:space="preserve">As he used the hand held scanner to scan units he had good wrist positions. </t>
  </si>
  <si>
    <t>2024-04-18 11:05:07 -0700 PDT</t>
  </si>
  <si>
    <t xml:space="preserve">Her elbows and back were in good positions as she grabbed totes off the pallet. </t>
  </si>
  <si>
    <t>2024-04-18 11:11:21 -0700 PDT</t>
  </si>
  <si>
    <t xml:space="preserve">She grabbed a stack of totes off the bottom of the pallet and moved it to the deck. She moved her foot and kept a good position of her back. </t>
  </si>
  <si>
    <t>2024-04-18 12:33:46 -0700 PDT</t>
  </si>
  <si>
    <t>2024-04-18 12:34:01 -0700 PDT</t>
  </si>
  <si>
    <t>2024-04-18 13:03:58 -0700 PDT</t>
  </si>
  <si>
    <t xml:space="preserve">He used his back and knees as he picked up pallets. </t>
  </si>
  <si>
    <t>2024-04-18 16:12:53 -0700 PDT</t>
  </si>
  <si>
    <t>2024-04-18 22:03:31 -0700 PDT</t>
  </si>
  <si>
    <t>2024-04-18 22:04:09 -0700 PDT</t>
  </si>
  <si>
    <t>2024-04-18 22:04:22 -0700 PDT</t>
  </si>
  <si>
    <t>2024-04-18 22:05:12 -0700 PDT</t>
  </si>
  <si>
    <t>2024-04-18 22:18:22 -0700 PDT</t>
  </si>
  <si>
    <t>2024-04-18 22:41:40 -0700 PDT</t>
  </si>
  <si>
    <t>2024-04-18 23:34:53 -0700 PDT</t>
  </si>
  <si>
    <t>2024-04-19 00:36:48 -0700 PDT</t>
  </si>
  <si>
    <t>2024-04-19 00:37:21 -0700 PDT</t>
  </si>
  <si>
    <t>2024-04-19 00:46:20 -0700 PDT</t>
  </si>
  <si>
    <t>2024-04-19 01:09:47 -0700 PDT</t>
  </si>
  <si>
    <t>2024-04-19 01:10:03 -0700 PDT</t>
  </si>
  <si>
    <t>2024-04-19 05:13:51 -0700 PDT</t>
  </si>
  <si>
    <t>2024-04-19 05:47:04 -0700 PDT</t>
  </si>
  <si>
    <t>2024-04-19 05:47:46 -0700 PDT</t>
  </si>
  <si>
    <t>2024-04-19 06:36:17 -0700 PDT</t>
  </si>
  <si>
    <t>2024-04-19 06:49:48 -0700 PDT</t>
  </si>
  <si>
    <t>Associate was bending down to pick up some small boxes, wasnâ€™t squatting and bending knees. I demonstrated the proper way by squatting while bending knee and how to stand up using legs. Explained this will take a lot of strain off the back.</t>
  </si>
  <si>
    <t>2024-04-19 09:17:38 -0700 PDT</t>
  </si>
  <si>
    <t>2024-04-19 09:33:59 -0700 PDT</t>
  </si>
  <si>
    <t>2024-04-19 09:53:12 -0700 PDT</t>
  </si>
  <si>
    <t>2024-04-20 08:49:45 -0700 PDT</t>
  </si>
  <si>
    <t>2024-04-21 10:17:09 -0700 PDT</t>
  </si>
  <si>
    <t>2024-04-21 10:20:18 -0700 PDT</t>
  </si>
  <si>
    <t>2024-04-22 10:32:26 -0700 PDT</t>
  </si>
  <si>
    <t>Miguel Mandizabal</t>
  </si>
  <si>
    <t>mmendizabal@columbia.com</t>
  </si>
  <si>
    <t xml:space="preserve">Instructed team member to bend knees when handling boxes from the floor._x000D_
</t>
  </si>
  <si>
    <t>2024-04-22 10:38:11 -0700 PDT</t>
  </si>
  <si>
    <t>Jerel Machuca</t>
  </si>
  <si>
    <t>Jerel.Machuca@columbia.com</t>
  </si>
  <si>
    <t>Coached employee on keeping upper back straight and locked in.  Also talked about pivoting rather than twisting.</t>
  </si>
  <si>
    <t>2024-04-22 18:40:28 -0700 PDT</t>
  </si>
  <si>
    <t>2024-04-22 18:43:39 -0700 PDT</t>
  </si>
  <si>
    <t>2024-04-22 18:56:59 -0700 PDT</t>
  </si>
  <si>
    <t>2024-04-23 13:18:56 -0700 PDT</t>
  </si>
  <si>
    <t>2024-04-23 22:03:48 -0700 PDT</t>
  </si>
  <si>
    <t>Michael Bell</t>
  </si>
  <si>
    <t>MiBell@columbia.com</t>
  </si>
  <si>
    <t>blue 6</t>
  </si>
  <si>
    <t>2024-04-23 22:05:32 -0700 PDT</t>
  </si>
  <si>
    <t>blue 5</t>
  </si>
  <si>
    <t>2024-04-23 22:14:01 -0700 PDT</t>
  </si>
  <si>
    <t>2024-04-23 22:15:54 -0700 PDT</t>
  </si>
  <si>
    <t>red 4</t>
  </si>
  <si>
    <t>2024-04-23 22:16:49 -0700 PDT</t>
  </si>
  <si>
    <t>green 5</t>
  </si>
  <si>
    <t>2024-04-23 22:18:14 -0700 PDT</t>
  </si>
  <si>
    <t>green 7</t>
  </si>
  <si>
    <t>2024-04-23 22:18:58 -0700 PDT</t>
  </si>
  <si>
    <t>red 8</t>
  </si>
  <si>
    <t>2024-04-23 22:19:44 -0700 PDT</t>
  </si>
  <si>
    <t>red 10</t>
  </si>
  <si>
    <t>2024-04-24 23:36:58 -0700 PDT</t>
  </si>
  <si>
    <t>2024-04-24 23:46:49 -0700 PDT</t>
  </si>
  <si>
    <t>2024-04-25 11:56:54 -0700 PDT</t>
  </si>
  <si>
    <t xml:space="preserve">Do_x000D_
</t>
  </si>
  <si>
    <t>2024-04-25 11:58:46 -0700 PDT</t>
  </si>
  <si>
    <t>2024-04-25 12:30:51 -0700 PDT</t>
  </si>
  <si>
    <t xml:space="preserve">She picked up a stack of totes and had her knees bent. </t>
  </si>
  <si>
    <t>2024-04-25 12:31:54 -0700 PDT</t>
  </si>
  <si>
    <t xml:space="preserve">She used her opposite leg to balance as she reached under her desk to empty her garbage. </t>
  </si>
  <si>
    <t>2024-04-25 12:32:52 -0700 PDT</t>
  </si>
  <si>
    <t xml:space="preserve">He bent down properly as he moved the toted off the bottom of the pallet. </t>
  </si>
  <si>
    <t>2024-04-25 12:54:07 -0700 PDT</t>
  </si>
  <si>
    <t xml:space="preserve">As she restocked her bank she did a good pivot while moving totes. </t>
  </si>
  <si>
    <t>2024-04-25 12:55:12 -0700 PDT</t>
  </si>
  <si>
    <t xml:space="preserve">She grabbed the taped gun off the table while keeping her elbows into her side. </t>
  </si>
  <si>
    <t>2024-04-25 12:56:57 -0700 PDT</t>
  </si>
  <si>
    <t xml:space="preserve">Her elbows were in and her back was straight as she pulled units towards her to do the audit. _x000D_
</t>
  </si>
  <si>
    <t>2024-04-25 12:57:41 -0700 PDT</t>
  </si>
  <si>
    <t xml:space="preserve">She held the chute door properly as she closed it after the audit. </t>
  </si>
  <si>
    <t>2024-04-25 12:58:41 -0700 PDT</t>
  </si>
  <si>
    <t xml:space="preserve">Good wrist movements while taping the carton. </t>
  </si>
  <si>
    <t>2024-04-25 14:39:52 -0700 PDT</t>
  </si>
  <si>
    <t>2024-04-25 18:54:48 -0700 PDT</t>
  </si>
  <si>
    <t>2024-04-25 20:23:48 -0700 PDT</t>
  </si>
  <si>
    <t>2024-04-25 20:24:31 -0700 PDT</t>
  </si>
  <si>
    <t>2024-04-25 20:31:50 -0700 PDT</t>
  </si>
  <si>
    <t>2024-04-25 21:49:48 -0700 PDT</t>
  </si>
  <si>
    <t>green 2</t>
  </si>
  <si>
    <t>2024-04-25 21:50:45 -0700 PDT</t>
  </si>
  <si>
    <t>green 4</t>
  </si>
  <si>
    <t>2024-04-25 21:51:22 -0700 PDT</t>
  </si>
  <si>
    <t>blue 3</t>
  </si>
  <si>
    <t>2024-04-25 21:52:02 -0700 PDT</t>
  </si>
  <si>
    <t>green 6</t>
  </si>
  <si>
    <t>2024-04-25 21:53:12 -0700 PDT</t>
  </si>
  <si>
    <t>red8</t>
  </si>
  <si>
    <t>2024-04-25 21:53:50 -0700 PDT</t>
  </si>
  <si>
    <t>green9</t>
  </si>
  <si>
    <t>2024-04-25 23:19:10 -0700 PDT</t>
  </si>
  <si>
    <t>2024-04-25 23:23:00 -0700 PDT</t>
  </si>
  <si>
    <t>2024-04-25 23:38:14 -0700 PDT</t>
  </si>
  <si>
    <t>2024-04-26 00:16:05 -0700 PDT</t>
  </si>
  <si>
    <t>2024-04-26 01:01:37 -0700 PDT</t>
  </si>
  <si>
    <t>2024-04-26 01:04:32 -0700 PDT</t>
  </si>
  <si>
    <t>2024-04-26 01:05:56 -0700 PDT</t>
  </si>
  <si>
    <t>2024-04-26 06:40:20 -0700 PDT</t>
  </si>
  <si>
    <t>Associate bent over to pick up box, I had them set it down and ask if they new the correct way to lift a box. They showed me the correct way. Showed video afterwards.</t>
  </si>
  <si>
    <t>2024-04-26 06:53:01 -0700 PDT</t>
  </si>
  <si>
    <t>2024-04-26 09:07:16 -0700 PDT</t>
  </si>
  <si>
    <t>2024-04-26 09:46:51 -0700 PDT</t>
  </si>
  <si>
    <t>2024-04-26 09:47:09 -0700 PDT</t>
  </si>
  <si>
    <t>2024-04-26 09:47:33 -0700 PDT</t>
  </si>
  <si>
    <t>2024-04-26 09:47:57 -0700 PDT</t>
  </si>
  <si>
    <t>2024-04-26 10:03:16 -0700 PDT</t>
  </si>
  <si>
    <t>2024-04-26 10:04:05 -0700 PDT</t>
  </si>
  <si>
    <t>2024-04-26 10:25:11 -0700 PDT</t>
  </si>
  <si>
    <t>2024-04-26 10:55:39 -0700 PDT</t>
  </si>
  <si>
    <t>2024-04-26 10:55:48 -0700 PDT</t>
  </si>
  <si>
    <t>2024-04-26 10:55:44 -0700 PDT</t>
  </si>
  <si>
    <t>2024-04-26 10:55:55 -0700 PDT</t>
  </si>
  <si>
    <t>2024-04-26 10:56:00 -0700 PDT</t>
  </si>
  <si>
    <t>2024-04-27 11:26:37 -0700 PDT</t>
  </si>
  <si>
    <t>2024-04-27 11:27:05 -0700 PDT</t>
  </si>
  <si>
    <t>2024-04-27 11:27:42 -0700 PDT</t>
  </si>
  <si>
    <t>2024-04-27 16:05:29 -0700 PDT</t>
  </si>
  <si>
    <t>2024-04-28 06:50:51 -0700 PDT</t>
  </si>
  <si>
    <t>2024-04-28 06:51:46 -0700 PDT</t>
  </si>
  <si>
    <t>2024-04-29 17:49:03 -0700 PDT</t>
  </si>
  <si>
    <t>2024-04-29 17:56:26 -0700 PDT</t>
  </si>
  <si>
    <t>2024-04-29 18:54:07 -0700 PDT</t>
  </si>
  <si>
    <t>2024-04-29 20:34:26 -0700 PDT</t>
  </si>
  <si>
    <t>Reduce twisting while moving cartons</t>
  </si>
  <si>
    <t>2024-04-29 20:37:23 -0700 PDT</t>
  </si>
  <si>
    <t xml:space="preserve">Let the legs do the lifting </t>
  </si>
  <si>
    <t>2024-04-29 20:40:09 -0700 PDT</t>
  </si>
  <si>
    <t>Same side hand and foot when lifting.</t>
  </si>
  <si>
    <t>2024-04-29 20:41:58 -0700 PDT</t>
  </si>
  <si>
    <t>Center line will help you reduce stress and strain.</t>
  </si>
  <si>
    <t>2024-04-29 20:43:59 -0700 PDT</t>
  </si>
  <si>
    <t>2024-04-29 20:44:43 -0700 PDT</t>
  </si>
  <si>
    <t>2024-04-29 20:45:52 -0700 PDT</t>
  </si>
  <si>
    <t xml:space="preserve">Keeping stuff closer to you will reduce stress on your elbow </t>
  </si>
  <si>
    <t>2024-04-29 20:49:41 -0700 PDT</t>
  </si>
  <si>
    <t>2024-04-29 22:12:58 -0700 PDT</t>
  </si>
  <si>
    <t>2024-04-29 22:15:22 -0700 PDT</t>
  </si>
  <si>
    <t>2024-04-29 22:20:19 -0700 PDT</t>
  </si>
  <si>
    <t>2024-04-29 22:21:42 -0700 PDT</t>
  </si>
  <si>
    <t>2024-04-30 00:30:46 -0700 PDT</t>
  </si>
  <si>
    <t>2024-04-30 00:35:48 -0700 PDT</t>
  </si>
  <si>
    <t>Linda Martinez</t>
  </si>
  <si>
    <t>linda.martinez@columbia.com</t>
  </si>
  <si>
    <t>2024-04-30 00:39:48 -0700 PDT</t>
  </si>
  <si>
    <t>2024-04-30 00:48:28 -0700 PDT</t>
  </si>
  <si>
    <t>2024-04-30 00:48:51 -0700 PDT</t>
  </si>
  <si>
    <t>2024-04-30 08:41:33 -0700 PDT</t>
  </si>
  <si>
    <t>2024-04-30 08:41:48 -0700 PDT</t>
  </si>
  <si>
    <t>2024-04-30 08:42:27 -0700 PDT</t>
  </si>
  <si>
    <t>2024-04-30 08:42:32 -0700 PDT</t>
  </si>
  <si>
    <t>2024-04-30 21:10:14 -0700 PDT</t>
  </si>
  <si>
    <t>2024-04-30 21:12:51 -0700 PDT</t>
  </si>
  <si>
    <t>2024-04-30 22:06:59 -0700 PDT</t>
  </si>
  <si>
    <t>2024-04-30 22:08:45 -0700 PDT</t>
  </si>
  <si>
    <t>2024-04-30 22:11:43 -0700 PDT</t>
  </si>
  <si>
    <t>2024-05-01 00:12:06 -0700 PDT</t>
  </si>
  <si>
    <t>2024-05-01 00:57:13 -0700 PDT</t>
  </si>
  <si>
    <t>2024-05-01 01:11:48 -0700 PDT</t>
  </si>
  <si>
    <t>2024-05-01 07:22:37 -0700 PDT</t>
  </si>
  <si>
    <t>2024-05-01 07:27:46 -0700 PDT</t>
  </si>
  <si>
    <t>2024-05-01 16:05:48 -0700 PDT</t>
  </si>
  <si>
    <t>2024-05-01 20:31:10 -0700 PDT</t>
  </si>
  <si>
    <t>2024-05-01 21:08:22 -0700 PDT</t>
  </si>
  <si>
    <t>2024-05-01 21:13:21 -0700 PDT</t>
  </si>
  <si>
    <t>2024-05-01 21:52:19 -0700 PDT</t>
  </si>
  <si>
    <t>2024-05-02 00:06:40 -0700 PDT</t>
  </si>
  <si>
    <t>2024-05-02 00:14:00 -0700 PDT</t>
  </si>
  <si>
    <t>2024-05-02 09:52:25 -0700 PDT</t>
  </si>
  <si>
    <t>2024-05-02 09:52:31 -0700 PDT</t>
  </si>
  <si>
    <t>2024-05-02 09:53:03 -0700 PDT</t>
  </si>
  <si>
    <t>2024-05-02 12:12:14 -0700 PDT</t>
  </si>
  <si>
    <t>2024-05-02 18:24:35 -0700 PDT</t>
  </si>
  <si>
    <t>Keep cartons close to your core</t>
  </si>
  <si>
    <t>2024-05-02 19:33:31 -0700 PDT</t>
  </si>
  <si>
    <t>2024-05-02 20:30:11 -0700 PDT</t>
  </si>
  <si>
    <t>Do not extend heavy cartons over your head</t>
  </si>
  <si>
    <t>2024-05-03 00:18:12 -0700 PDT</t>
  </si>
  <si>
    <t>2024-05-03 00:18:33 -0700 PDT</t>
  </si>
  <si>
    <t>2024-05-03 00:18:48 -0700 PDT</t>
  </si>
  <si>
    <t>2024-05-03 06:17:00 -0700 PDT</t>
  </si>
  <si>
    <t>2024-05-03 07:09:46 -0700 PDT</t>
  </si>
  <si>
    <t>2024-05-03 08:26:46 -0700 PDT</t>
  </si>
  <si>
    <t>2024-05-03 10:44:06 -0700 PDT</t>
  </si>
  <si>
    <t>2024-05-03 10:44:11 -0700 PDT</t>
  </si>
  <si>
    <t>2024-05-03 10:44:16 -0700 PDT</t>
  </si>
  <si>
    <t>2024-05-03 10:44:23 -0700 PDT</t>
  </si>
  <si>
    <t>2024-05-03 10:44:28 -0700 PDT</t>
  </si>
  <si>
    <t>2024-05-03 11:29:26 -0700 PDT</t>
  </si>
  <si>
    <t>2024-05-06 08:51:07 -0700 PDT</t>
  </si>
  <si>
    <t>Casey Wells</t>
  </si>
  <si>
    <t>Casey.Wells@columbia.com</t>
  </si>
  <si>
    <t xml:space="preserve">I observed him use good elbow placement </t>
  </si>
  <si>
    <t>2024-05-06 08:52:58 -0700 PDT</t>
  </si>
  <si>
    <t>Good body mechanics was used</t>
  </si>
  <si>
    <t>2024-04-28 11:56:55 -0700 PDT</t>
  </si>
  <si>
    <t>Watched associate do this technique really well. They were able to stay in the green zone without causing strain or injury. I had no things to correct.</t>
  </si>
  <si>
    <t>2024-04-28 12:04:26 -0700 PDT</t>
  </si>
  <si>
    <t xml:space="preserve">I observed an associate not doing this technique correctly. The way they were demonstrating was going to cause strain or injury. They stayed out of the green zone. Once I was able to demonstrate proper technique then the associate was able to work safely and efficiently. </t>
  </si>
  <si>
    <t>2024-04-28 12:01:39 -0700 PDT</t>
  </si>
  <si>
    <t>Watched an associate work with a tape good. Technique was really good. Had nice fluid motion with hands and wrist. Holding it where she wouldnâ€™t cause strain.</t>
  </si>
  <si>
    <t>2024-05-06 19:04:16 -0700 PDT</t>
  </si>
  <si>
    <t>2024-05-06 19:10:27 -0700 PDT</t>
  </si>
  <si>
    <t>2024-05-06 23:45:08 -0700 PDT</t>
  </si>
  <si>
    <t>2024-05-07 10:55:12 -0700 PDT</t>
  </si>
  <si>
    <t xml:space="preserve">As he lifted the totes off the pallet he bent his knees and did a pivot. </t>
  </si>
  <si>
    <t>2024-05-07 10:56:16 -0700 PDT</t>
  </si>
  <si>
    <t xml:space="preserve">She reached for the tape go off the desk. Her foot did a good pivot. </t>
  </si>
  <si>
    <t>2024-05-07 10:57:49 -0700 PDT</t>
  </si>
  <si>
    <t xml:space="preserve">She she emptied the garbage she bent her knees and braced herself with one hand on the opposite knee. </t>
  </si>
  <si>
    <t>2024-05-07 10:58:43 -0700 PDT</t>
  </si>
  <si>
    <t xml:space="preserve">He kept his back straight as he bent down to pick up the pallet. Also had his knees bent. </t>
  </si>
  <si>
    <t>2024-05-07 10:59:43 -0700 PDT</t>
  </si>
  <si>
    <t xml:space="preserve">He used the hand truck to move several boxes of tape. </t>
  </si>
  <si>
    <t>2024-05-07 11:03:08 -0700 PDT</t>
  </si>
  <si>
    <t xml:space="preserve">She kept the carton close to her when she carried it to the table. Then she sat down the corner and pushed it back. </t>
  </si>
  <si>
    <t>2024-05-07 11:04:23 -0700 PDT</t>
  </si>
  <si>
    <t xml:space="preserve">His wrist was in a good position as he lifted the chute door. </t>
  </si>
  <si>
    <t>2024-05-07 11:05:48 -0700 PDT</t>
  </si>
  <si>
    <t xml:space="preserve">Her wrists were in a good position as she closed the chute door. </t>
  </si>
  <si>
    <t>2024-05-07 11:06:26 -0700 PDT</t>
  </si>
  <si>
    <t xml:space="preserve">Good wrist position while using her scanner. </t>
  </si>
  <si>
    <t>2024-05-07 11:07:03 -0700 PDT</t>
  </si>
  <si>
    <t xml:space="preserve">Good wrist position while using the tape gun. </t>
  </si>
  <si>
    <t>2024-05-07 21:50:58 -0700 PDT</t>
  </si>
  <si>
    <t>2024-05-07 22:13:49 -0700 PDT</t>
  </si>
  <si>
    <t>2024-05-07 22:19:15 -0700 PDT</t>
  </si>
  <si>
    <t>2024-05-07 23:47:57 -0700 PDT</t>
  </si>
  <si>
    <t>2024-05-08 18:44:57 -0700 PDT</t>
  </si>
  <si>
    <t>2024-05-08 18:50:08 -0700 PDT</t>
  </si>
  <si>
    <t>2024-05-08 19:07:49 -0700 PDT</t>
  </si>
  <si>
    <t>2024-05-08 20:41:38 -0700 PDT</t>
  </si>
  <si>
    <t>blue1</t>
  </si>
  <si>
    <t>2024-05-08 20:42:04 -0700 PDT</t>
  </si>
  <si>
    <t>red2</t>
  </si>
  <si>
    <t>2024-05-08 20:42:53 -0700 PDT</t>
  </si>
  <si>
    <t>blue12</t>
  </si>
  <si>
    <t>2024-05-08 20:43:38 -0700 PDT</t>
  </si>
  <si>
    <t>blue18</t>
  </si>
  <si>
    <t>2024-05-08 20:44:03 -0700 PDT</t>
  </si>
  <si>
    <t>Ee modeled proper technique red# j</t>
  </si>
  <si>
    <t>2024-05-08 20:44:47 -0700 PDT</t>
  </si>
  <si>
    <t>blue3</t>
  </si>
  <si>
    <t>2024-05-08 20:45:27 -0700 PDT</t>
  </si>
  <si>
    <t>green4</t>
  </si>
  <si>
    <t>2024-05-08 20:46:13 -0700 PDT</t>
  </si>
  <si>
    <t xml:space="preserve">Ee modeled proper technique red# 7.  </t>
  </si>
  <si>
    <t>2024-05-08 20:46:18 -0700 PDT</t>
  </si>
  <si>
    <t>green6</t>
  </si>
  <si>
    <t>2024-05-08 20:47:17 -0700 PDT</t>
  </si>
  <si>
    <t>blue5</t>
  </si>
  <si>
    <t>2024-05-08 20:48:28 -0700 PDT</t>
  </si>
  <si>
    <t>Ee modeled proper technique red# 9.</t>
  </si>
  <si>
    <t>green1</t>
  </si>
  <si>
    <t>2024-05-08 20:50:01 -0700 PDT</t>
  </si>
  <si>
    <t>Ee modeled proper technique red# 13.</t>
  </si>
  <si>
    <t>2024-05-08 20:50:37 -0700 PDT</t>
  </si>
  <si>
    <t>2024-05-08 20:51:15 -0700 PDT</t>
  </si>
  <si>
    <t>2024-05-08 20:52:01 -0700 PDT</t>
  </si>
  <si>
    <t>greeen11</t>
  </si>
  <si>
    <t>2024-05-08 20:52:26 -0700 PDT</t>
  </si>
  <si>
    <t>Ee modeled proper technique red# 15.</t>
  </si>
  <si>
    <t>2024-05-08 20:52:43 -0700 PDT</t>
  </si>
  <si>
    <t>green13</t>
  </si>
  <si>
    <t>2024-05-08 20:53:21 -0700 PDT</t>
  </si>
  <si>
    <t>red14</t>
  </si>
  <si>
    <t>2024-05-08 20:53:47 -0700 PDT</t>
  </si>
  <si>
    <t>2024-05-08 20:54:07 -0700 PDT</t>
  </si>
  <si>
    <t>red18</t>
  </si>
  <si>
    <t>2024-05-08 20:54:49 -0700 PDT</t>
  </si>
  <si>
    <t>green19</t>
  </si>
  <si>
    <t>2024-05-08 20:55:10 -0700 PDT</t>
  </si>
  <si>
    <t>2024-05-08 20:55:46 -0700 PDT</t>
  </si>
  <si>
    <t>2024-05-08 20:56:31 -0700 PDT</t>
  </si>
  <si>
    <t>green17</t>
  </si>
  <si>
    <t>2024-05-08 21:25:24 -0700 PDT</t>
  </si>
  <si>
    <t>2024-05-09 00:17:03 -0700 PDT</t>
  </si>
  <si>
    <t>2024-05-09 00:25:55 -0700 PDT</t>
  </si>
  <si>
    <t>2024-05-09 00:26:44 -0700 PDT</t>
  </si>
  <si>
    <t>2024-05-09 00:34:01 -0700 PDT</t>
  </si>
  <si>
    <t>2024-05-09 00:34:34 -0700 PDT</t>
  </si>
  <si>
    <t>2024-05-09 00:34:52 -0700 PDT</t>
  </si>
  <si>
    <t>2024-05-09 10:01:34 -0700 PDT</t>
  </si>
  <si>
    <t>2024-05-09 10:02:18 -0700 PDT</t>
  </si>
  <si>
    <t>2024-05-09 10:02:24 -0700 PDT</t>
  </si>
  <si>
    <t>2024-05-09 10:02:30 -0700 PDT</t>
  </si>
  <si>
    <t>2024-05-09 10:03:24 -0700 PDT</t>
  </si>
  <si>
    <t>2024-05-09 10:03:30 -0700 PDT</t>
  </si>
  <si>
    <t>2024-05-09 12:01:41 -0700 PDT</t>
  </si>
  <si>
    <t>2024-05-09 12:07:03 -0700 PDT</t>
  </si>
  <si>
    <t>2024-05-09 12:14:56 -0700 PDT</t>
  </si>
  <si>
    <t>Had associate practice few times, so he would get used to doing it this way.</t>
  </si>
  <si>
    <t>2024-05-09 16:26:25 -0700 PDT</t>
  </si>
  <si>
    <t>2024-05-09 16:30:31 -0700 PDT</t>
  </si>
  <si>
    <t>2024-05-09 22:57:49 -0700 PDT</t>
  </si>
  <si>
    <t>2024-05-09 23:03:07 -0700 PDT</t>
  </si>
  <si>
    <t>2024-05-09 23:06:05 -0700 PDT</t>
  </si>
  <si>
    <t>2024-05-09 23:24:04 -0700 PDT</t>
  </si>
  <si>
    <t>2024-05-10 00:21:02 -0700 PDT</t>
  </si>
  <si>
    <t>2024-05-10 00:21:26 -0700 PDT</t>
  </si>
  <si>
    <t>2024-05-10 00:35:34 -0700 PDT</t>
  </si>
  <si>
    <t>2024-05-10 00:59:58 -0700 PDT</t>
  </si>
  <si>
    <t>2024-05-10 01:10:05 -0700 PDT</t>
  </si>
  <si>
    <t>2024-05-10 01:23:58 -0700 PDT</t>
  </si>
  <si>
    <t>2024-05-10 01:27:42 -0700 PDT</t>
  </si>
  <si>
    <t>2024-05-10 09:59:57 -0700 PDT</t>
  </si>
  <si>
    <t>2024-05-10 10:04:51 -0700 PDT</t>
  </si>
  <si>
    <t>2024-05-10 10:10:05 -0700 PDT</t>
  </si>
  <si>
    <t>2024-05-10 10:28:37 -0700 PDT</t>
  </si>
  <si>
    <t>2024-05-10 10:37:38 -0700 PDT</t>
  </si>
  <si>
    <t>2024-05-10 10:37:43 -0700 PDT</t>
  </si>
  <si>
    <t>2024-05-10 10:37:47 -0700 PDT</t>
  </si>
  <si>
    <t>2024-05-10 10:37:54 -0700 PDT</t>
  </si>
  <si>
    <t>2024-05-10 10:38:01 -0700 PDT</t>
  </si>
  <si>
    <t>2024-05-10 10:38:07 -0700 PDT</t>
  </si>
  <si>
    <t>2024-05-10 10:38:12 -0700 PDT</t>
  </si>
  <si>
    <t>2024-05-10 10:39:05 -0700 PDT</t>
  </si>
  <si>
    <t>2024-05-10 11:05:52 -0700 PDT</t>
  </si>
  <si>
    <t>She had great body mechanics while grabbing a box</t>
  </si>
  <si>
    <t>2024-05-10 12:19:32 -0700 PDT</t>
  </si>
  <si>
    <t>2024-05-10 12:20:01 -0700 PDT</t>
  </si>
  <si>
    <t>2024-05-12 16:19:46 -0700 PDT</t>
  </si>
  <si>
    <t>I observed an associate who had a pallet of totes that they were putting items in and they were positioned at a level lower then they were and they were putting a lot of strain on there back by being in the red zone and not putting the totes at a higher level. Once they positioned there work area better they were able to put less strain on their back and they were able to stay in the green zone and work safely.</t>
  </si>
  <si>
    <t>2024-05-12 16:23:56 -0700 PDT</t>
  </si>
  <si>
    <t>I observed an associate do this technique correctly. They were able to grab their object while pointing their body in the right direction. Hey didnâ€™t cause strain and stayed in the green zone. I had nothing to correct with this associate.</t>
  </si>
  <si>
    <t>2024-05-12 16:27:49 -0700 PDT</t>
  </si>
  <si>
    <t>I was able to observe an associate who was doing this technique wrong. While moving a case off the floor this associate was straight leg while doing this which causes strain on your lower back and legs. Once I was able to demonstrate and watch them do the technique they started to stay in the green zone and started to take the stress of off there back and knees and once I continued to observe them for a while they started to work safer.</t>
  </si>
  <si>
    <t>2024-05-13 21:17:46 -0700 PDT</t>
  </si>
  <si>
    <t>2024-05-13 21:54:47 -0700 PDT</t>
  </si>
  <si>
    <t>Pivot do not twist</t>
  </si>
  <si>
    <t>2024-05-13 21:59:01 -0700 PDT</t>
  </si>
  <si>
    <t>Keep your back straight</t>
  </si>
  <si>
    <t>2024-05-15 09:10:14 -0700 PDT</t>
  </si>
  <si>
    <t>2024-05-15 09:14:54 -0700 PDT</t>
  </si>
  <si>
    <t>2024-05-15 18:42:23 -0700 PDT</t>
  </si>
  <si>
    <t>Ee modeled proper technique red #2</t>
  </si>
  <si>
    <t>2024-05-15 18:44:00 -0700 PDT</t>
  </si>
  <si>
    <t>2024-05-15 18:45:38 -0700 PDT</t>
  </si>
  <si>
    <t>Ee modeled proper technique red# 6</t>
  </si>
  <si>
    <t>2024-05-15 18:46:45 -0700 PDT</t>
  </si>
  <si>
    <t>Ee modeled proper technique green # 7</t>
  </si>
  <si>
    <t>2024-05-15 18:47:49 -0700 PDT</t>
  </si>
  <si>
    <t>Ee modeled proper technique red # 10</t>
  </si>
  <si>
    <t>2024-05-15 18:48:40 -0700 PDT</t>
  </si>
  <si>
    <t>Ee modeled proper technique green # 9</t>
  </si>
  <si>
    <t>2024-05-15 18:49:45 -0700 PDT</t>
  </si>
  <si>
    <t>2024-05-15 18:50:41 -0700 PDT</t>
  </si>
  <si>
    <t>Ee modeled proper technique green # 11</t>
  </si>
  <si>
    <t>2024-05-15 18:51:42 -0700 PDT</t>
  </si>
  <si>
    <t>Ee modeled proper technique green # 13</t>
  </si>
  <si>
    <t>2024-05-15 18:52:17 -0700 PDT</t>
  </si>
  <si>
    <t xml:space="preserve">Green # 13. Ee modeled proper technique </t>
  </si>
  <si>
    <t>2024-05-15 18:53:15 -0700 PDT</t>
  </si>
  <si>
    <t>2024-05-15 18:54:14 -0700 PDT</t>
  </si>
  <si>
    <t>2024-05-15 18:55:04 -0700 PDT</t>
  </si>
  <si>
    <t>2024-05-15 18:56:07 -0700 PDT</t>
  </si>
  <si>
    <t>2024-05-15 18:57:07 -0700 PDT</t>
  </si>
  <si>
    <t>Ee modeled proper technique red 18</t>
  </si>
  <si>
    <t>2024-05-15 18:58:05 -0700 PDT</t>
  </si>
  <si>
    <t>2024-05-15 18:59:01 -0700 PDT</t>
  </si>
  <si>
    <t>2024-05-15 18:59:50 -0700 PDT</t>
  </si>
  <si>
    <t>2024-05-15 19:00:38 -0700 PDT</t>
  </si>
  <si>
    <t>Ee modeled proper technique red 22</t>
  </si>
  <si>
    <t>2024-05-15 19:01:27 -0700 PDT</t>
  </si>
  <si>
    <t>2024-05-15 19:02:17 -0700 PDT</t>
  </si>
  <si>
    <t>2024-05-15 19:03:04 -0700 PDT</t>
  </si>
  <si>
    <t>Ee modeled proper technique red 28</t>
  </si>
  <si>
    <t>2024-05-15 19:36:53 -0700 PDT</t>
  </si>
  <si>
    <t>2024-05-15 20:53:08 -0700 PDT</t>
  </si>
  <si>
    <t>2024-05-15 21:49:51 -0700 PDT</t>
  </si>
  <si>
    <t>2024-05-15 21:50:54 -0700 PDT</t>
  </si>
  <si>
    <t>2024-05-15 21:51:43 -0700 PDT</t>
  </si>
  <si>
    <t>2024-05-15 21:57:32 -0700 PDT</t>
  </si>
  <si>
    <t>Kera Larsen</t>
  </si>
  <si>
    <t>KeLarsen@columbia.com</t>
  </si>
  <si>
    <t xml:space="preserve">Associate was not pivoting his feet while grabbing singles out of Gaylord </t>
  </si>
  <si>
    <t>2024-05-15 21:59:45 -0700 PDT</t>
  </si>
  <si>
    <t>Associate was arching back while adding tickets to his totes in pick pack</t>
  </si>
  <si>
    <t>2024-05-15 22:02:11 -0700 PDT</t>
  </si>
  <si>
    <t>Associate reached over line of weakness while grabbing supplies under audit station</t>
  </si>
  <si>
    <t>2024-05-16 08:41:58 -0700 PDT</t>
  </si>
  <si>
    <t>2024-05-16 08:42:09 -0700 PDT</t>
  </si>
  <si>
    <t>2024-05-16 08:43:11 -0700 PDT</t>
  </si>
  <si>
    <t>2024-05-16 08:43:46 -0700 PDT</t>
  </si>
  <si>
    <t>2024-05-16 12:49:54 -0700 PDT</t>
  </si>
  <si>
    <t>2024-05-16 12:57:12 -0700 PDT</t>
  </si>
  <si>
    <t>2024-05-16 23:42:45 -0700 PDT</t>
  </si>
  <si>
    <t>2024-05-17 06:50:20 -0700 PDT</t>
  </si>
  <si>
    <t>Had associate demonstrate what was shown in the video, so they understand the correct way so not to injure themselves.</t>
  </si>
  <si>
    <t>2024-05-17 07:46:07 -0700 PDT</t>
  </si>
  <si>
    <t>2024-05-17 08:45:25 -0700 PDT</t>
  </si>
  <si>
    <t>2024-05-17 10:31:02 -0700 PDT</t>
  </si>
  <si>
    <t>2024-05-20 19:42:56 -0700 PDT</t>
  </si>
  <si>
    <t>2024-05-20 23:02:52 -0700 PDT</t>
  </si>
  <si>
    <t>2024-05-20 23:12:26 -0700 PDT</t>
  </si>
  <si>
    <t>2024-05-20 23:13:28 -0700 PDT</t>
  </si>
  <si>
    <t>Ee modeled proper technique red 9</t>
  </si>
  <si>
    <t>2024-05-20 23:14:30 -0700 PDT</t>
  </si>
  <si>
    <t>2024-05-20 23:15:22 -0700 PDT</t>
  </si>
  <si>
    <t>Ee modeled proper technique red 19</t>
  </si>
  <si>
    <t>2024-05-20 23:16:56 -0700 PDT</t>
  </si>
  <si>
    <t>Ee modeled proper technique red 21</t>
  </si>
  <si>
    <t>2024-05-20 23:18:14 -0700 PDT</t>
  </si>
  <si>
    <t>Ee modeled proper technique green 5</t>
  </si>
  <si>
    <t>2024-05-20 23:19:08 -0700 PDT</t>
  </si>
  <si>
    <t>Ee modeled proper technique green 7</t>
  </si>
  <si>
    <t>2024-05-20 23:19:49 -0700 PDT</t>
  </si>
  <si>
    <t>2024-05-20 23:20:41 -0700 PDT</t>
  </si>
  <si>
    <t>Ee modeled proper technique red 12</t>
  </si>
  <si>
    <t>2024-05-20 23:21:39 -0700 PDT</t>
  </si>
  <si>
    <t>2024-05-20 23:23:11 -0700 PDT</t>
  </si>
  <si>
    <t>2024-05-20 23:23:56 -0700 PDT</t>
  </si>
  <si>
    <t>2024-05-20 23:24:51 -0700 PDT</t>
  </si>
  <si>
    <t>2024-05-20 23:26:05 -0700 PDT</t>
  </si>
  <si>
    <t>Ee modeled proper technique blue 3</t>
  </si>
  <si>
    <t>2024-05-20 23:26:49 -0700 PDT</t>
  </si>
  <si>
    <t>Ee modeled proper technique blue 7</t>
  </si>
  <si>
    <t>2024-05-20 23:28:53 -0700 PDT</t>
  </si>
  <si>
    <t>Ee modeled proper technique blue 18</t>
  </si>
  <si>
    <t>2024-05-20 23:30:22 -0700 PDT</t>
  </si>
  <si>
    <t xml:space="preserve">Ee modeled proper technique seeding _x000D_
</t>
  </si>
  <si>
    <t>2024-05-20 23:31:07 -0700 PDT</t>
  </si>
  <si>
    <t xml:space="preserve">Ee modeled proper technique seeding </t>
  </si>
  <si>
    <t>2024-05-21 07:34:45 -0700 PDT</t>
  </si>
  <si>
    <t>KThao@columbia.com</t>
  </si>
  <si>
    <t>2024-05-21 07:34:59 -0700 PDT</t>
  </si>
  <si>
    <t>2024-05-21 07:35:14 -0700 PDT</t>
  </si>
  <si>
    <t>2024-05-21 12:29:37 -0700 PDT</t>
  </si>
  <si>
    <t xml:space="preserve">He pointed his foot properly while restocking totes. </t>
  </si>
  <si>
    <t>2024-05-21 12:30:48 -0700 PDT</t>
  </si>
  <si>
    <t xml:space="preserve">She had good body position as she grabbed the stapler off the desk. </t>
  </si>
  <si>
    <t>2024-05-21 12:31:48 -0700 PDT</t>
  </si>
  <si>
    <t xml:space="preserve">She used the bridge technique properly as she pulled out the garbage can. </t>
  </si>
  <si>
    <t>2024-05-21 12:32:19 -0700 PDT</t>
  </si>
  <si>
    <t xml:space="preserve">Good wrist movement with the tape gun. </t>
  </si>
  <si>
    <t>2024-05-21 12:32:59 -0700 PDT</t>
  </si>
  <si>
    <t>Good wrist position with the hand held scanner.</t>
  </si>
  <si>
    <t>2024-05-21 12:35:04 -0700 PDT</t>
  </si>
  <si>
    <t xml:space="preserve">Watched her have good hand and wrist placement with the runner bag. </t>
  </si>
  <si>
    <t>2024-05-21 12:35:49 -0700 PDT</t>
  </si>
  <si>
    <t xml:space="preserve">Her elbows were in as she moved a stack of totes. </t>
  </si>
  <si>
    <t>2024-05-21 12:54:12 -0700 PDT</t>
  </si>
  <si>
    <t>2024-05-21 12:57:52 -0700 PDT</t>
  </si>
  <si>
    <t>2024-05-21 13:00:12 -0700 PDT</t>
  </si>
  <si>
    <t>2024-05-22 21:59:12 -0700 PDT</t>
  </si>
  <si>
    <t>2024-05-22 23:16:21 -0700 PDT</t>
  </si>
  <si>
    <t>2024-05-22 23:24:56 -0700 PDT</t>
  </si>
  <si>
    <t>2024-05-22 23:59:29 -0700 PDT</t>
  </si>
  <si>
    <t xml:space="preserve">Pivot when moving cartons do it twist </t>
  </si>
  <si>
    <t>2024-05-23 07:02:34 -0700 PDT</t>
  </si>
  <si>
    <t>2024-05-23 07:02:40 -0700 PDT</t>
  </si>
  <si>
    <t>2024-05-23 07:02:46 -0700 PDT</t>
  </si>
  <si>
    <t>2024-05-23 07:07:35 -0700 PDT</t>
  </si>
  <si>
    <t>2024-05-23 07:07:44 -0700 PDT</t>
  </si>
  <si>
    <t>2024-05-23 07:07:39 -0700 PDT</t>
  </si>
  <si>
    <t>2024-05-23 10:22:00 -0700 PDT</t>
  </si>
  <si>
    <t>2024-05-23 10:22:05 -0700 PDT</t>
  </si>
  <si>
    <t>2024-05-23 12:07:38 -0700 PDT</t>
  </si>
  <si>
    <t>2024-05-23 18:34:38 -0700 PDT</t>
  </si>
  <si>
    <t>Associate pre positioned foot back while turning with units from put tray.</t>
  </si>
  <si>
    <t>2024-05-23 18:40:34 -0700 PDT</t>
  </si>
  <si>
    <t xml:space="preserve">Associate did not use same side hand and foot while bending down for tote on PTL_x000D_
_x000D_
</t>
  </si>
  <si>
    <t>2024-05-23 18:44:45 -0700 PDT</t>
  </si>
  <si>
    <t xml:space="preserve">Associate bringing totes to PTL from shifting did not pivot foot while offloading from pallet and instead twisted </t>
  </si>
  <si>
    <t>2024-05-24 00:34:54 -0700 PDT</t>
  </si>
  <si>
    <t>2024-05-24 00:34:59 -0700 PDT</t>
  </si>
  <si>
    <t>2024-05-24 00:56:55 -0700 PDT</t>
  </si>
  <si>
    <t>2024-05-26 15:15:25 -0700 PDT</t>
  </si>
  <si>
    <t>I observed an associate doing this technique wrong. When they were taking there stack off of a pallet they were not turning there body in the correct position. I made sure to show them the correct technique and demonstrate the importance of what they were doing so they wouldnâ€™t injury or strain themselves. Once I was able to show them they were able to demonstrate it back and do it correctly and safely and stayed in the green zone.</t>
  </si>
  <si>
    <t>2024-05-26 16:48:28 -0700 PDT</t>
  </si>
  <si>
    <t>I observed an associate who was doing this technique the correct way. Stayed in the green zone, always made sure their body was facing the correct way and did a great job of being safe while working. Had nothing to correct.</t>
  </si>
  <si>
    <t>2024-05-26 17:06:48 -0700 PDT</t>
  </si>
  <si>
    <t xml:space="preserve">I observed my associate doing this technique wrong. They had there legs complete straight and using straight back where it could have caused strain or serious injury if the case was heavier. I made sure to demonstrate the correct way and reiterate the importance of working safely and smartly. They received the feedback well and became safely while working. </t>
  </si>
  <si>
    <t>06-13-2024</t>
  </si>
  <si>
    <t>2024-06-13 11:25:45 -0700 PDT</t>
  </si>
  <si>
    <t>2024-06-13 11:33:09 -0700 PDT</t>
  </si>
  <si>
    <t>2024-06-13 12:44:06 -0700 PDT</t>
  </si>
  <si>
    <t>2024-06-13 13:09:18 -0700 PDT</t>
  </si>
  <si>
    <t>06-14-2024</t>
  </si>
  <si>
    <t>2024-06-13 21:47:48 -0700 PDT</t>
  </si>
  <si>
    <t>2024-06-13 21:56:05 -0700 PDT</t>
  </si>
  <si>
    <t>2024-06-13 22:01:32 -0700 PDT</t>
  </si>
  <si>
    <t>2024-06-13 22:25:00 -0700 PDT</t>
  </si>
  <si>
    <t>Ee modeled proper technique station #12</t>
  </si>
  <si>
    <t>2024-06-13 22:26:49 -0700 PDT</t>
  </si>
  <si>
    <t>2024-06-13 22:27:17 -0700 PDT</t>
  </si>
  <si>
    <t>Ee modeled proper technique station#15 returns.</t>
  </si>
  <si>
    <t>2024-06-13 22:31:21 -0700 PDT</t>
  </si>
  <si>
    <t>Ee modeled proper technique station #28</t>
  </si>
  <si>
    <t>2024-06-13 22:33:02 -0700 PDT</t>
  </si>
  <si>
    <t>Ee modeled proper technique station #26</t>
  </si>
  <si>
    <t>2024-06-13 22:51:34 -0700 PDT</t>
  </si>
  <si>
    <t>Associate pivoted one foot back while loading replen cart</t>
  </si>
  <si>
    <t>2024-06-13 22:52:43 -0700 PDT</t>
  </si>
  <si>
    <t xml:space="preserve">Associate did not push box of units on to conveyor properly </t>
  </si>
  <si>
    <t>2024-06-13 22:54:09 -0700 PDT</t>
  </si>
  <si>
    <t xml:space="preserve">Associate aligned spinal in curves while grabbing box off of a pallet in shipping </t>
  </si>
  <si>
    <t>2024-06-14 09:48:34 -0700 PDT</t>
  </si>
  <si>
    <t>2024-06-14 09:48:46 -0700 PDT</t>
  </si>
  <si>
    <t>2024-06-14 09:49:02 -0700 PDT</t>
  </si>
  <si>
    <t>2024-06-14 11:29:09 -0700 PDT</t>
  </si>
  <si>
    <t>2024-06-14 11:29:30 -0700 PDT</t>
  </si>
  <si>
    <t>2024-06-14 11:33:32 -0700 PDT</t>
  </si>
  <si>
    <t>2024-06-14 11:36:48 -0700 PDT</t>
  </si>
  <si>
    <t>2024-06-14 11:38:09 -0700 PDT</t>
  </si>
  <si>
    <t>06-17-2024</t>
  </si>
  <si>
    <t>2024-06-17 08:45:47 -0700 PDT</t>
  </si>
  <si>
    <t>2024-06-17 12:16:49 -0700 PDT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</si>
</sst>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2" borderId="0" xfId="0" applyFill="1"/>
    <xf numFmtId="0" fontId="0" fillId="0" borderId="0" xfId="0" applyAlignment="1">
      <alignment wrapText="1"/>
    </xf>
    <xf numFmtId="0" fontId="1" fillId="0" borderId="0" xfId="0" applyFont="1" applyAlignment="1">
      <alignment wrapText="1"/>
    </xf>
    <xf numFmtId="1" fontId="1" fillId="0" borderId="0" xfId="0" applyNumberFormat="1" applyFont="1"/>
    <xf numFmtId="1" fontId="0" fillId="0" borderId="0" xfId="0" applyNumberFormat="1"/>
  </cellXfs>
  <cellStyles count="1">
    <cellStyle name="Normal" xfId="0" builtinId="0"/>
  </cellStyles>
  <dxfs count="3">
    <dxf>
      <font>
        <color rgb="FF9C0006"/>
      </font>
      <fill>
        <patternFill>
          <bgColor rgb="FFFFC7CE"/>
        </patternFill>
      </fill>
    </dxf>
    <dxf>
      <fill>
        <patternFill>
          <bgColor rgb="FFFF5050"/>
        </patternFill>
      </fill>
    </dxf>
    <dxf>
      <fill>
        <patternFill>
          <bgColor rgb="FF4DFC2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[SIMworks_Data.xlsm]FeedbackWeek!PivotTable4</c:name>
    <c:fmtId val="4"/>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Feedback by Week</a:t>
            </a:r>
          </a:p>
        </c:rich>
      </c:tx>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circle"/>
          <c:size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a:solidFill>
                <a:schemeClr val="accent1"/>
              </a:solidFill>
              <a:prstDash val="solid"/>
              <a:round/>
            </a:ln>
          </c:spPr>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circle"/>
          <c:size val="6"/>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9525">
              <a:solidFill>
                <a:schemeClr val="accent2"/>
              </a:solidFill>
              <a:prstDash val="solid"/>
              <a:round/>
            </a:ln>
          </c:spPr>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2A23D"/>
          </a:soli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elete val="1"/>
          <c:extLst>
            <c:ext xmlns:c15="http://schemas.microsoft.com/office/drawing/2012/chart" uri="{CE6537A1-D6FC-4f65-9D91-7224C49458BB}"/>
          </c:extLst>
        </c:dLbl>
      </c:pivotFmt>
      <c:pivotFmt>
        <c:idx val="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tx>
            <c:strRef>
              <c:f>FeedbackWeek!$B$3:$B$4</c:f>
              <c:strCache>
                <c:ptCount val="1"/>
                <c:pt idx="0">
                  <c:v>Grand 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cat>
            <c:strRef>
              <c:f>FeedbackWeek!$A$5</c:f>
              <c:strCache>
                <c:ptCount val="1"/>
                <c:pt idx="0">
                  <c:v>Grand Total</c:v>
                </c:pt>
              </c:strCache>
            </c:strRef>
          </c:cat>
          <c:val>
            <c:numRef>
              <c:f>FeedbackWeek!$B$5</c:f>
              <c:numCache>
                <c:formatCode>General</c:formatCode>
                <c:ptCount val="1"/>
              </c:numCache>
            </c:numRef>
          </c:val>
          <c:extLst>
            <c:ext xmlns:c16="http://schemas.microsoft.com/office/drawing/2014/chart" uri="{C3380CC4-5D6E-409C-BE32-E72D297353CC}">
              <c16:uniqueId val="{00000000-66C4-D245-B00E-ACC25286693B}"/>
            </c:ext>
          </c:extLst>
        </c:ser>
        <c:dLbls>
          <c:showLegendKey val="0"/>
          <c:showVal val="0"/>
          <c:showCatName val="0"/>
          <c:showSerName val="0"/>
          <c:showPercent val="0"/>
          <c:showBubbleSize val="0"/>
        </c:dLbls>
        <c:gapWidth val="150"/>
        <c:overlap val="100"/>
        <c:axId val="252197376"/>
        <c:axId val="252196960"/>
      </c:barChart>
      <c:catAx>
        <c:axId val="252197376"/>
        <c:scaling>
          <c:orientation val="minMax"/>
        </c:scaling>
        <c:delete val="0"/>
        <c:axPos val="l"/>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52196960"/>
        <c:crosses val="autoZero"/>
        <c:auto val="1"/>
        <c:lblAlgn val="ctr"/>
        <c:lblOffset val="100"/>
        <c:noMultiLvlLbl val="0"/>
      </c:catAx>
      <c:valAx>
        <c:axId val="252196960"/>
        <c:scaling>
          <c:orientation val="minMax"/>
        </c:scaling>
        <c:delete val="0"/>
        <c:axPos val="b"/>
        <c:majorGridlines>
          <c:spPr>
            <a:ln w="9525" cap="flat" cmpd="sng" algn="ctr">
              <a:solidFill>
                <a:schemeClr val="lt1">
                  <a:alpha val="10000"/>
                  <a:lumMod val="9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52197376"/>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[SIMworks_Data.xlsm]Techniques!PivotTable5</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Feedback by Technique</a:t>
            </a:r>
          </a:p>
        </c:rich>
      </c:tx>
      <c:overlay val="0"/>
      <c:spPr>
        <a:noFill/>
        <a:ln>
          <a:noFill/>
          <a:prstDash val="solid"/>
        </a:ln>
      </c:spPr>
    </c:title>
    <c:autoTitleDeleted val="0"/>
    <c:pivotFmts>
      <c:pivotFmt>
        <c:idx val="0"/>
        <c:spPr>
          <a:solidFill>
            <a:srgbClr val="12A23D"/>
          </a:solidFill>
          <a:ln>
            <a:noFill/>
            <a:prstDash val="solid"/>
          </a:ln>
        </c:spPr>
        <c:marker>
          <c:symbol val="diamond"/>
          <c:size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a:solidFill>
                <a:schemeClr val="accent1"/>
              </a:solidFill>
              <a:prstDash val="solid"/>
              <a:round/>
            </a:ln>
          </c:spPr>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square"/>
          <c:size val="5"/>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9525">
              <a:solidFill>
                <a:schemeClr val="accent2"/>
              </a:solidFill>
              <a:prstDash val="solid"/>
              <a:round/>
            </a:ln>
          </c:spPr>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12A23D"/>
          </a:soli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12A23D"/>
          </a:solidFill>
          <a:ln>
            <a:noFill/>
            <a:prstDash val="solid"/>
          </a:ln>
        </c:spPr>
        <c:marker>
          <c:symbol val="none"/>
        </c:marker>
        <c:dLbl>
          <c:idx val="0"/>
          <c:delete val="1"/>
          <c:extLst>
            <c:ext xmlns:c15="http://schemas.microsoft.com/office/drawing/2012/chart" uri="{CE6537A1-D6FC-4f65-9D91-7224C49458BB}"/>
          </c:extLst>
        </c:dLbl>
      </c:pivotFmt>
      <c:pivotFmt>
        <c:idx val="5"/>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marker>
          <c:symbol val="none"/>
        </c:marker>
        <c:dLbl>
          <c:idx val="0"/>
          <c:delete val="1"/>
          <c:extLst>
            <c:ext xmlns:c15="http://schemas.microsoft.com/office/drawing/2012/chart" uri="{CE6537A1-D6FC-4f65-9D91-7224C49458BB}"/>
          </c:extLst>
        </c:dLbl>
      </c:pivotFmt>
      <c:pivotFmt>
        <c:idx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Techniques!$B$3:$B$4</c:f>
              <c:strCache>
                <c:ptCount val="1"/>
                <c:pt idx="0">
                  <c:v>Observed Better</c:v>
                </c:pt>
              </c:strCache>
            </c:strRef>
          </c:tx>
          <c:spPr>
            <a:solidFill>
              <a:srgbClr val="12A23D"/>
            </a:solidFill>
            <a:ln>
              <a:noFill/>
              <a:prstDash val="solid"/>
            </a:ln>
          </c:spPr>
          <c:invertIfNegative val="0"/>
          <c:cat>
            <c:multiLvlStrRef>
              <c:f>Techniques!$A$5:$A$31</c:f>
              <c:multiLvlStrCache>
                <c:ptCount val="11"/>
                <c:lvl>
                  <c:pt idx="0">
                    <c:v>Same Side Hand and Foot</c:v>
                  </c:pt>
                  <c:pt idx="1">
                    <c:v>Adjust Seat</c:v>
                  </c:pt>
                  <c:pt idx="2">
                    <c:v>Arrange Storage</c:v>
                  </c:pt>
                  <c:pt idx="3">
                    <c:v>Raised Work Surface</c:v>
                  </c:pt>
                  <c:pt idx="4">
                    <c:v>(blank)</c:v>
                  </c:pt>
                  <c:pt idx="5">
                    <c:v>(blank)</c:v>
                  </c:pt>
                  <c:pt idx="6">
                    <c:v>Offloading or Stacking</c:v>
                  </c:pt>
                  <c:pt idx="7">
                    <c:v>Reach Low</c:v>
                  </c:pt>
                  <c:pt idx="8">
                    <c:v>(blank)</c:v>
                  </c:pt>
                  <c:pt idx="9">
                    <c:v>Reach High</c:v>
                  </c:pt>
                  <c:pt idx="10">
                    <c:v>(blank)</c:v>
                  </c:pt>
                </c:lvl>
                <c:lvl>
                  <c:pt idx="0">
                    <c:v>Lifting Technique</c:v>
                  </c:pt>
                  <c:pt idx="1">
                    <c:v>Smart Setup</c:v>
                  </c:pt>
                  <c:pt idx="4">
                    <c:v>Reposition Your Work</c:v>
                  </c:pt>
                  <c:pt idx="5">
                    <c:v>Carry the weight on your arm or shoulder</c:v>
                  </c:pt>
                  <c:pt idx="6">
                    <c:v>Pre-position One Foot Back</c:v>
                  </c:pt>
                  <c:pt idx="7">
                    <c:v>Same Side Hand and Foot</c:v>
                  </c:pt>
                  <c:pt idx="8">
                    <c:v>Push Back and Turn</c:v>
                  </c:pt>
                  <c:pt idx="9">
                    <c:v>Same Side Hand and Foot</c:v>
                  </c:pt>
                  <c:pt idx="10">
                    <c:v>(blank)</c:v>
                  </c:pt>
                </c:lvl>
                <c:lvl>
                  <c:pt idx="0">
                    <c:v>Lifting Options, Technique and Pace</c:v>
                  </c:pt>
                  <c:pt idx="1">
                    <c:v>Position Elbows Closer</c:v>
                  </c:pt>
                  <c:pt idx="4">
                    <c:v>Use Mid-range Wrist Motions</c:v>
                  </c:pt>
                  <c:pt idx="6">
                    <c:v>Leg Strength and Balance</c:v>
                  </c:pt>
                  <c:pt idx="8">
                    <c:v>Leg Strength and Balance </c:v>
                  </c:pt>
                  <c:pt idx="10">
                    <c:v>(blank)</c:v>
                  </c:pt>
                </c:lvl>
              </c:multiLvlStrCache>
            </c:multiLvlStrRef>
          </c:cat>
          <c:val>
            <c:numRef>
              <c:f>Techniques!$B$5:$B$31</c:f>
              <c:numCache>
                <c:formatCode>General</c:formatCode>
                <c:ptCount val="11"/>
                <c:pt idx="0">
                  <c:v>24</c:v>
                </c:pt>
                <c:pt idx="1">
                  <c:v>3</c:v>
                </c:pt>
                <c:pt idx="2">
                  <c:v>3</c:v>
                </c:pt>
                <c:pt idx="3">
                  <c:v>4</c:v>
                </c:pt>
                <c:pt idx="4">
                  <c:v>6</c:v>
                </c:pt>
                <c:pt idx="5">
                  <c:v>17</c:v>
                </c:pt>
                <c:pt idx="6">
                  <c:v>53</c:v>
                </c:pt>
                <c:pt idx="7">
                  <c:v>20</c:v>
                </c:pt>
                <c:pt idx="8">
                  <c:v>19</c:v>
                </c:pt>
                <c:pt idx="9">
                  <c:v>16</c:v>
                </c:pt>
              </c:numCache>
            </c:numRef>
          </c:val>
          <c:extLst>
            <c:ext xmlns:c16="http://schemas.microsoft.com/office/drawing/2014/chart" uri="{C3380CC4-5D6E-409C-BE32-E72D297353CC}">
              <c16:uniqueId val="{00000000-A784-114D-A3D2-5BAC0336A422}"/>
            </c:ext>
          </c:extLst>
        </c:ser>
        <c:ser>
          <c:idx val="1"/>
          <c:order val="1"/>
          <c:tx>
            <c:strRef>
              <c:f>Techniques!$C$3:$C$4</c:f>
              <c:strCache>
                <c:ptCount val="1"/>
                <c:pt idx="0">
                  <c:v>Provided Guidance</c:v>
                </c:pt>
              </c:strCache>
            </c:strRef>
          </c:tx>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invertIfNegative val="0"/>
          <c:cat>
            <c:multiLvlStrRef>
              <c:f>Techniques!$A$5:$A$31</c:f>
              <c:multiLvlStrCache>
                <c:ptCount val="11"/>
                <c:lvl>
                  <c:pt idx="0">
                    <c:v>Same Side Hand and Foot</c:v>
                  </c:pt>
                  <c:pt idx="1">
                    <c:v>Adjust Seat</c:v>
                  </c:pt>
                  <c:pt idx="2">
                    <c:v>Arrange Storage</c:v>
                  </c:pt>
                  <c:pt idx="3">
                    <c:v>Raised Work Surface</c:v>
                  </c:pt>
                  <c:pt idx="4">
                    <c:v>(blank)</c:v>
                  </c:pt>
                  <c:pt idx="5">
                    <c:v>(blank)</c:v>
                  </c:pt>
                  <c:pt idx="6">
                    <c:v>Offloading or Stacking</c:v>
                  </c:pt>
                  <c:pt idx="7">
                    <c:v>Reach Low</c:v>
                  </c:pt>
                  <c:pt idx="8">
                    <c:v>(blank)</c:v>
                  </c:pt>
                  <c:pt idx="9">
                    <c:v>Reach High</c:v>
                  </c:pt>
                  <c:pt idx="10">
                    <c:v>(blank)</c:v>
                  </c:pt>
                </c:lvl>
                <c:lvl>
                  <c:pt idx="0">
                    <c:v>Lifting Technique</c:v>
                  </c:pt>
                  <c:pt idx="1">
                    <c:v>Smart Setup</c:v>
                  </c:pt>
                  <c:pt idx="4">
                    <c:v>Reposition Your Work</c:v>
                  </c:pt>
                  <c:pt idx="5">
                    <c:v>Carry the weight on your arm or shoulder</c:v>
                  </c:pt>
                  <c:pt idx="6">
                    <c:v>Pre-position One Foot Back</c:v>
                  </c:pt>
                  <c:pt idx="7">
                    <c:v>Same Side Hand and Foot</c:v>
                  </c:pt>
                  <c:pt idx="8">
                    <c:v>Push Back and Turn</c:v>
                  </c:pt>
                  <c:pt idx="9">
                    <c:v>Same Side Hand and Foot</c:v>
                  </c:pt>
                  <c:pt idx="10">
                    <c:v>(blank)</c:v>
                  </c:pt>
                </c:lvl>
                <c:lvl>
                  <c:pt idx="0">
                    <c:v>Lifting Options, Technique and Pace</c:v>
                  </c:pt>
                  <c:pt idx="1">
                    <c:v>Position Elbows Closer</c:v>
                  </c:pt>
                  <c:pt idx="4">
                    <c:v>Use Mid-range Wrist Motions</c:v>
                  </c:pt>
                  <c:pt idx="6">
                    <c:v>Leg Strength and Balance</c:v>
                  </c:pt>
                  <c:pt idx="8">
                    <c:v>Leg Strength and Balance </c:v>
                  </c:pt>
                  <c:pt idx="10">
                    <c:v>(blank)</c:v>
                  </c:pt>
                </c:lvl>
              </c:multiLvlStrCache>
            </c:multiLvlStrRef>
          </c:cat>
          <c:val>
            <c:numRef>
              <c:f>Techniques!$C$5:$C$31</c:f>
              <c:numCache>
                <c:formatCode>General</c:formatCode>
                <c:ptCount val="11"/>
                <c:pt idx="0">
                  <c:v>10</c:v>
                </c:pt>
                <c:pt idx="1">
                  <c:v>2</c:v>
                </c:pt>
                <c:pt idx="2">
                  <c:v>1</c:v>
                </c:pt>
                <c:pt idx="3">
                  <c:v>1</c:v>
                </c:pt>
                <c:pt idx="4">
                  <c:v>2</c:v>
                </c:pt>
                <c:pt idx="5">
                  <c:v>4</c:v>
                </c:pt>
                <c:pt idx="6">
                  <c:v>5</c:v>
                </c:pt>
                <c:pt idx="7">
                  <c:v>7</c:v>
                </c:pt>
                <c:pt idx="8">
                  <c:v>6</c:v>
                </c:pt>
                <c:pt idx="9">
                  <c:v>10</c:v>
                </c:pt>
              </c:numCache>
            </c:numRef>
          </c:val>
          <c:extLst>
            <c:ext xmlns:c16="http://schemas.microsoft.com/office/drawing/2014/chart" uri="{C3380CC4-5D6E-409C-BE32-E72D297353CC}">
              <c16:uniqueId val="{00000001-A784-114D-A3D2-5BAC0336A422}"/>
            </c:ext>
          </c:extLst>
        </c:ser>
        <c:dLbls>
          <c:showLegendKey val="0"/>
          <c:showVal val="0"/>
          <c:showCatName val="0"/>
          <c:showSerName val="0"/>
          <c:showPercent val="0"/>
          <c:showBubbleSize val="0"/>
        </c:dLbls>
        <c:gapWidth val="115"/>
        <c:axId val="314067504"/>
        <c:axId val="314067088"/>
      </c:barChart>
      <c:catAx>
        <c:axId val="314067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314067088"/>
        <c:crosses val="autoZero"/>
        <c:auto val="1"/>
        <c:lblAlgn val="ctr"/>
        <c:lblOffset val="100"/>
        <c:noMultiLvlLbl val="0"/>
      </c:catAx>
      <c:valAx>
        <c:axId val="314067088"/>
        <c:scaling>
          <c:orientation val="minMax"/>
        </c:scaling>
        <c:delete val="0"/>
        <c:axPos val="l"/>
        <c:majorGridlines>
          <c:spPr>
            <a:ln w="9525" cap="flat" cmpd="sng" algn="ctr">
              <a:solidFill>
                <a:schemeClr val="lt1">
                  <a:alpha val="10000"/>
                  <a:lumMod val="9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314067504"/>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[SIMworks_Data.xlsm]By Week!PivotTable2</c:name>
    <c:fmtId val="4"/>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Observations by Week</a:t>
            </a:r>
          </a:p>
        </c:rich>
      </c:tx>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diamond"/>
          <c:size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a:solidFill>
                <a:schemeClr val="accent1"/>
              </a:solidFill>
              <a:prstDash val="solid"/>
              <a:round/>
            </a:ln>
          </c:spPr>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square"/>
          <c:size val="5"/>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9525">
              <a:solidFill>
                <a:schemeClr val="accent2"/>
              </a:solidFill>
              <a:prstDash val="solid"/>
              <a:round/>
            </a:ln>
          </c:spPr>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triangle"/>
          <c:size val="5"/>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9525">
              <a:solidFill>
                <a:schemeClr val="accent3"/>
              </a:solidFill>
              <a:prstDash val="solid"/>
              <a:round/>
            </a:ln>
          </c:spPr>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5"/>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6"/>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4">
              <a:lumMod val="60000"/>
              <a:lumOff val="40000"/>
            </a:schemeClr>
          </a:soli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rgbClr val="FF9999"/>
          </a:soli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lumMod val="40000"/>
              <a:lumOff val="60000"/>
            </a:schemeClr>
          </a:soli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13136410434879"/>
          <c:y val="8.5785590277777782E-2"/>
          <c:w val="0.73218065283276057"/>
          <c:h val="0.86387094679571308"/>
        </c:manualLayout>
      </c:layout>
      <c:barChart>
        <c:barDir val="bar"/>
        <c:grouping val="clustered"/>
        <c:varyColors val="0"/>
        <c:ser>
          <c:idx val="0"/>
          <c:order val="0"/>
          <c:tx>
            <c:strRef>
              <c:f>'By Week'!$B$3:$B$4</c:f>
              <c:strCache>
                <c:ptCount val="1"/>
                <c:pt idx="0">
                  <c:v>Grand 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'By Week'!$A$5</c:f>
              <c:strCache>
                <c:ptCount val="1"/>
                <c:pt idx="0">
                  <c:v>Grand Total</c:v>
                </c:pt>
              </c:strCache>
            </c:strRef>
          </c:cat>
          <c:val>
            <c:numRef>
              <c:f>'By Week'!$B$5</c:f>
              <c:numCache>
                <c:formatCode>General</c:formatCode>
                <c:ptCount val="1"/>
              </c:numCache>
            </c:numRef>
          </c:val>
          <c:extLst>
            <c:ext xmlns:c16="http://schemas.microsoft.com/office/drawing/2014/chart" uri="{C3380CC4-5D6E-409C-BE32-E72D297353CC}">
              <c16:uniqueId val="{00000000-EC28-EA40-9181-DF9154BC45C1}"/>
            </c:ext>
          </c:extLst>
        </c:ser>
        <c:dLbls>
          <c:dLblPos val="outEnd"/>
          <c:showLegendKey val="0"/>
          <c:showVal val="1"/>
          <c:showCatName val="0"/>
          <c:showSerName val="0"/>
          <c:showPercent val="0"/>
          <c:showBubbleSize val="0"/>
        </c:dLbls>
        <c:gapWidth val="115"/>
        <c:overlap val="-20"/>
        <c:axId val="287215056"/>
        <c:axId val="287198416"/>
      </c:barChart>
      <c:catAx>
        <c:axId val="287215056"/>
        <c:scaling>
          <c:orientation val="minMax"/>
        </c:scaling>
        <c:delete val="0"/>
        <c:axPos val="l"/>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87198416"/>
        <c:crosses val="autoZero"/>
        <c:auto val="1"/>
        <c:lblAlgn val="ctr"/>
        <c:lblOffset val="100"/>
        <c:noMultiLvlLbl val="0"/>
      </c:catAx>
      <c:valAx>
        <c:axId val="287198416"/>
        <c:scaling>
          <c:orientation val="minMax"/>
        </c:scaling>
        <c:delete val="0"/>
        <c:axPos val="b"/>
        <c:majorGridlines>
          <c:spPr>
            <a:ln w="9525" cap="flat" cmpd="sng" algn="ctr">
              <a:solidFill>
                <a:schemeClr val="lt1">
                  <a:alpha val="10000"/>
                  <a:lumMod val="9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87215056"/>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[SIMworks_Data.xlsm]Techniques!PivotTable5</c:name>
    <c:fmtId val="0"/>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Feedback by Technique</a:t>
            </a:r>
          </a:p>
        </c:rich>
      </c:tx>
      <c:overlay val="0"/>
      <c:spPr>
        <a:noFill/>
        <a:ln>
          <a:noFill/>
          <a:prstDash val="solid"/>
        </a:ln>
      </c:spPr>
    </c:title>
    <c:autoTitleDeleted val="0"/>
    <c:pivotFmts>
      <c:pivotFmt>
        <c:idx val="0"/>
        <c:spPr>
          <a:solidFill>
            <a:srgbClr val="12A23D"/>
          </a:solidFill>
          <a:ln>
            <a:noFill/>
            <a:prstDash val="solid"/>
          </a:ln>
        </c:spPr>
        <c:marker>
          <c:symbol val="none"/>
        </c:marker>
        <c:dLbl>
          <c:idx val="0"/>
          <c:delete val="1"/>
          <c:extLst>
            <c:ext xmlns:c15="http://schemas.microsoft.com/office/drawing/2012/chart" uri="{CE6537A1-D6FC-4f65-9D91-7224C49458BB}"/>
          </c:extLst>
        </c:dLbl>
      </c:pivotFmt>
      <c:pivotFmt>
        <c:idx val="1"/>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marker>
          <c:symbol val="none"/>
        </c:marker>
        <c:dLbl>
          <c:idx val="0"/>
          <c:delete val="1"/>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Techniques!$B$3:$B$4</c:f>
              <c:strCache>
                <c:ptCount val="1"/>
                <c:pt idx="0">
                  <c:v>Observed Better</c:v>
                </c:pt>
              </c:strCache>
            </c:strRef>
          </c:tx>
          <c:spPr>
            <a:solidFill>
              <a:srgbClr val="12A23D"/>
            </a:solidFill>
            <a:ln>
              <a:noFill/>
              <a:prstDash val="solid"/>
            </a:ln>
          </c:spPr>
          <c:invertIfNegative val="0"/>
          <c:cat>
            <c:multiLvlStrRef>
              <c:f>Techniques!$A$5:$A$31</c:f>
              <c:multiLvlStrCache>
                <c:ptCount val="11"/>
                <c:lvl>
                  <c:pt idx="0">
                    <c:v>Same Side Hand and Foot</c:v>
                  </c:pt>
                  <c:pt idx="1">
                    <c:v>Adjust Seat</c:v>
                  </c:pt>
                  <c:pt idx="2">
                    <c:v>Arrange Storage</c:v>
                  </c:pt>
                  <c:pt idx="3">
                    <c:v>Raised Work Surface</c:v>
                  </c:pt>
                  <c:pt idx="4">
                    <c:v>(blank)</c:v>
                  </c:pt>
                  <c:pt idx="5">
                    <c:v>(blank)</c:v>
                  </c:pt>
                  <c:pt idx="6">
                    <c:v>Offloading or Stacking</c:v>
                  </c:pt>
                  <c:pt idx="7">
                    <c:v>Reach Low</c:v>
                  </c:pt>
                  <c:pt idx="8">
                    <c:v>(blank)</c:v>
                  </c:pt>
                  <c:pt idx="9">
                    <c:v>Reach High</c:v>
                  </c:pt>
                  <c:pt idx="10">
                    <c:v>(blank)</c:v>
                  </c:pt>
                </c:lvl>
                <c:lvl>
                  <c:pt idx="0">
                    <c:v>Lifting Technique</c:v>
                  </c:pt>
                  <c:pt idx="1">
                    <c:v>Smart Setup</c:v>
                  </c:pt>
                  <c:pt idx="4">
                    <c:v>Reposition Your Work</c:v>
                  </c:pt>
                  <c:pt idx="5">
                    <c:v>Carry the weight on your arm or shoulder</c:v>
                  </c:pt>
                  <c:pt idx="6">
                    <c:v>Pre-position One Foot Back</c:v>
                  </c:pt>
                  <c:pt idx="7">
                    <c:v>Same Side Hand and Foot</c:v>
                  </c:pt>
                  <c:pt idx="8">
                    <c:v>Push Back and Turn</c:v>
                  </c:pt>
                  <c:pt idx="9">
                    <c:v>Same Side Hand and Foot</c:v>
                  </c:pt>
                  <c:pt idx="10">
                    <c:v>(blank)</c:v>
                  </c:pt>
                </c:lvl>
                <c:lvl>
                  <c:pt idx="0">
                    <c:v>Lifting Options, Technique and Pace</c:v>
                  </c:pt>
                  <c:pt idx="1">
                    <c:v>Position Elbows Closer</c:v>
                  </c:pt>
                  <c:pt idx="4">
                    <c:v>Use Mid-range Wrist Motions</c:v>
                  </c:pt>
                  <c:pt idx="6">
                    <c:v>Leg Strength and Balance</c:v>
                  </c:pt>
                  <c:pt idx="8">
                    <c:v>Leg Strength and Balance </c:v>
                  </c:pt>
                  <c:pt idx="10">
                    <c:v>(blank)</c:v>
                  </c:pt>
                </c:lvl>
              </c:multiLvlStrCache>
            </c:multiLvlStrRef>
          </c:cat>
          <c:val>
            <c:numRef>
              <c:f>Techniques!$B$5:$B$31</c:f>
              <c:numCache>
                <c:formatCode>General</c:formatCode>
                <c:ptCount val="11"/>
                <c:pt idx="0">
                  <c:v>24</c:v>
                </c:pt>
                <c:pt idx="1">
                  <c:v>3</c:v>
                </c:pt>
                <c:pt idx="2">
                  <c:v>3</c:v>
                </c:pt>
                <c:pt idx="3">
                  <c:v>4</c:v>
                </c:pt>
                <c:pt idx="4">
                  <c:v>6</c:v>
                </c:pt>
                <c:pt idx="5">
                  <c:v>17</c:v>
                </c:pt>
                <c:pt idx="6">
                  <c:v>53</c:v>
                </c:pt>
                <c:pt idx="7">
                  <c:v>20</c:v>
                </c:pt>
                <c:pt idx="8">
                  <c:v>19</c:v>
                </c:pt>
                <c:pt idx="9">
                  <c:v>16</c:v>
                </c:pt>
              </c:numCache>
            </c:numRef>
          </c:val>
          <c:extLst>
            <c:ext xmlns:c16="http://schemas.microsoft.com/office/drawing/2014/chart" uri="{C3380CC4-5D6E-409C-BE32-E72D297353CC}">
              <c16:uniqueId val="{00000000-A583-AD49-A8E9-74FE1F212336}"/>
            </c:ext>
          </c:extLst>
        </c:ser>
        <c:ser>
          <c:idx val="1"/>
          <c:order val="1"/>
          <c:tx>
            <c:strRef>
              <c:f>Techniques!$C$3:$C$4</c:f>
              <c:strCache>
                <c:ptCount val="1"/>
                <c:pt idx="0">
                  <c:v>Provided Guidance</c:v>
                </c:pt>
              </c:strCache>
            </c:strRef>
          </c:tx>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invertIfNegative val="0"/>
          <c:cat>
            <c:multiLvlStrRef>
              <c:f>Techniques!$A$5:$A$31</c:f>
              <c:multiLvlStrCache>
                <c:ptCount val="11"/>
                <c:lvl>
                  <c:pt idx="0">
                    <c:v>Same Side Hand and Foot</c:v>
                  </c:pt>
                  <c:pt idx="1">
                    <c:v>Adjust Seat</c:v>
                  </c:pt>
                  <c:pt idx="2">
                    <c:v>Arrange Storage</c:v>
                  </c:pt>
                  <c:pt idx="3">
                    <c:v>Raised Work Surface</c:v>
                  </c:pt>
                  <c:pt idx="4">
                    <c:v>(blank)</c:v>
                  </c:pt>
                  <c:pt idx="5">
                    <c:v>(blank)</c:v>
                  </c:pt>
                  <c:pt idx="6">
                    <c:v>Offloading or Stacking</c:v>
                  </c:pt>
                  <c:pt idx="7">
                    <c:v>Reach Low</c:v>
                  </c:pt>
                  <c:pt idx="8">
                    <c:v>(blank)</c:v>
                  </c:pt>
                  <c:pt idx="9">
                    <c:v>Reach High</c:v>
                  </c:pt>
                  <c:pt idx="10">
                    <c:v>(blank)</c:v>
                  </c:pt>
                </c:lvl>
                <c:lvl>
                  <c:pt idx="0">
                    <c:v>Lifting Technique</c:v>
                  </c:pt>
                  <c:pt idx="1">
                    <c:v>Smart Setup</c:v>
                  </c:pt>
                  <c:pt idx="4">
                    <c:v>Reposition Your Work</c:v>
                  </c:pt>
                  <c:pt idx="5">
                    <c:v>Carry the weight on your arm or shoulder</c:v>
                  </c:pt>
                  <c:pt idx="6">
                    <c:v>Pre-position One Foot Back</c:v>
                  </c:pt>
                  <c:pt idx="7">
                    <c:v>Same Side Hand and Foot</c:v>
                  </c:pt>
                  <c:pt idx="8">
                    <c:v>Push Back and Turn</c:v>
                  </c:pt>
                  <c:pt idx="9">
                    <c:v>Same Side Hand and Foot</c:v>
                  </c:pt>
                  <c:pt idx="10">
                    <c:v>(blank)</c:v>
                  </c:pt>
                </c:lvl>
                <c:lvl>
                  <c:pt idx="0">
                    <c:v>Lifting Options, Technique and Pace</c:v>
                  </c:pt>
                  <c:pt idx="1">
                    <c:v>Position Elbows Closer</c:v>
                  </c:pt>
                  <c:pt idx="4">
                    <c:v>Use Mid-range Wrist Motions</c:v>
                  </c:pt>
                  <c:pt idx="6">
                    <c:v>Leg Strength and Balance</c:v>
                  </c:pt>
                  <c:pt idx="8">
                    <c:v>Leg Strength and Balance </c:v>
                  </c:pt>
                  <c:pt idx="10">
                    <c:v>(blank)</c:v>
                  </c:pt>
                </c:lvl>
              </c:multiLvlStrCache>
            </c:multiLvlStrRef>
          </c:cat>
          <c:val>
            <c:numRef>
              <c:f>Techniques!$C$5:$C$31</c:f>
              <c:numCache>
                <c:formatCode>General</c:formatCode>
                <c:ptCount val="11"/>
                <c:pt idx="0">
                  <c:v>10</c:v>
                </c:pt>
                <c:pt idx="1">
                  <c:v>2</c:v>
                </c:pt>
                <c:pt idx="2">
                  <c:v>1</c:v>
                </c:pt>
                <c:pt idx="3">
                  <c:v>1</c:v>
                </c:pt>
                <c:pt idx="4">
                  <c:v>2</c:v>
                </c:pt>
                <c:pt idx="5">
                  <c:v>4</c:v>
                </c:pt>
                <c:pt idx="6">
                  <c:v>5</c:v>
                </c:pt>
                <c:pt idx="7">
                  <c:v>7</c:v>
                </c:pt>
                <c:pt idx="8">
                  <c:v>6</c:v>
                </c:pt>
                <c:pt idx="9">
                  <c:v>10</c:v>
                </c:pt>
              </c:numCache>
            </c:numRef>
          </c:val>
          <c:extLst>
            <c:ext xmlns:c16="http://schemas.microsoft.com/office/drawing/2014/chart" uri="{C3380CC4-5D6E-409C-BE32-E72D297353CC}">
              <c16:uniqueId val="{00000001-A583-AD49-A8E9-74FE1F212336}"/>
            </c:ext>
          </c:extLst>
        </c:ser>
        <c:dLbls>
          <c:showLegendKey val="0"/>
          <c:showVal val="0"/>
          <c:showCatName val="0"/>
          <c:showSerName val="0"/>
          <c:showPercent val="0"/>
          <c:showBubbleSize val="0"/>
        </c:dLbls>
        <c:gapWidth val="115"/>
        <c:axId val="314067504"/>
        <c:axId val="314067088"/>
      </c:barChart>
      <c:catAx>
        <c:axId val="314067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314067088"/>
        <c:crosses val="autoZero"/>
        <c:auto val="1"/>
        <c:lblAlgn val="ctr"/>
        <c:lblOffset val="100"/>
        <c:noMultiLvlLbl val="0"/>
      </c:catAx>
      <c:valAx>
        <c:axId val="314067088"/>
        <c:scaling>
          <c:orientation val="minMax"/>
        </c:scaling>
        <c:delete val="0"/>
        <c:axPos val="l"/>
        <c:majorGridlines>
          <c:spPr>
            <a:ln w="9525" cap="flat" cmpd="sng" algn="ctr">
              <a:solidFill>
                <a:schemeClr val="lt1">
                  <a:alpha val="10000"/>
                  <a:lumMod val="9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314067504"/>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[SIMworks_Data.xlsm]By Week!PivotTable2</c:name>
    <c:fmtId val="0"/>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Observations by Week</a:t>
            </a:r>
          </a:p>
        </c:rich>
      </c:tx>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elete val="1"/>
          <c:extLst>
            <c:ext xmlns:c15="http://schemas.microsoft.com/office/drawing/2012/chart" uri="{CE6537A1-D6FC-4f65-9D91-7224C49458BB}"/>
          </c:extLst>
        </c:dLbl>
      </c:pivotFmt>
      <c:pivotFmt>
        <c:idx val="4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9"/>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clustered"/>
        <c:varyColors val="0"/>
        <c:ser>
          <c:idx val="0"/>
          <c:order val="0"/>
          <c:tx>
            <c:strRef>
              <c:f>'By Week'!$B$3:$B$4</c:f>
              <c:strCache>
                <c:ptCount val="1"/>
                <c:pt idx="0">
                  <c:v>Grand 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cat>
            <c:strRef>
              <c:f>'By Week'!$A$5</c:f>
              <c:strCache>
                <c:ptCount val="1"/>
                <c:pt idx="0">
                  <c:v>Grand Total</c:v>
                </c:pt>
              </c:strCache>
            </c:strRef>
          </c:cat>
          <c:val>
            <c:numRef>
              <c:f>'By Week'!$B$5</c:f>
              <c:numCache>
                <c:formatCode>General</c:formatCode>
                <c:ptCount val="1"/>
              </c:numCache>
            </c:numRef>
          </c:val>
          <c:extLst>
            <c:ext xmlns:c16="http://schemas.microsoft.com/office/drawing/2014/chart" uri="{C3380CC4-5D6E-409C-BE32-E72D297353CC}">
              <c16:uniqueId val="{00000000-1E2F-C247-8097-462148C3A956}"/>
            </c:ext>
          </c:extLst>
        </c:ser>
        <c:dLbls>
          <c:showLegendKey val="0"/>
          <c:showVal val="0"/>
          <c:showCatName val="0"/>
          <c:showSerName val="0"/>
          <c:showPercent val="0"/>
          <c:showBubbleSize val="0"/>
        </c:dLbls>
        <c:gapWidth val="115"/>
        <c:overlap val="-20"/>
        <c:axId val="287215056"/>
        <c:axId val="287198416"/>
      </c:barChart>
      <c:catAx>
        <c:axId val="287215056"/>
        <c:scaling>
          <c:orientation val="minMax"/>
        </c:scaling>
        <c:delete val="0"/>
        <c:axPos val="l"/>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87198416"/>
        <c:crosses val="autoZero"/>
        <c:auto val="1"/>
        <c:lblAlgn val="ctr"/>
        <c:lblOffset val="100"/>
        <c:noMultiLvlLbl val="0"/>
      </c:catAx>
      <c:valAx>
        <c:axId val="287198416"/>
        <c:scaling>
          <c:orientation val="minMax"/>
        </c:scaling>
        <c:delete val="0"/>
        <c:axPos val="b"/>
        <c:majorGridlines>
          <c:spPr>
            <a:ln w="9525" cap="flat" cmpd="sng" algn="ctr">
              <a:solidFill>
                <a:schemeClr val="lt1">
                  <a:alpha val="10000"/>
                  <a:lumMod val="9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87215056"/>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[SIMworks_Data.xlsm]FeedbackWeek!PivotTable4</c:name>
    <c:fmtId val="0"/>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Feedback by Week</a:t>
            </a:r>
          </a:p>
        </c:rich>
      </c:tx>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delet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tx>
            <c:strRef>
              <c:f>FeedbackWeek!$B$3:$B$4</c:f>
              <c:strCache>
                <c:ptCount val="1"/>
                <c:pt idx="0">
                  <c:v>Grand 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cat>
            <c:strRef>
              <c:f>FeedbackWeek!$A$5</c:f>
              <c:strCache>
                <c:ptCount val="1"/>
                <c:pt idx="0">
                  <c:v>Grand Total</c:v>
                </c:pt>
              </c:strCache>
            </c:strRef>
          </c:cat>
          <c:val>
            <c:numRef>
              <c:f>FeedbackWeek!$B$5</c:f>
              <c:numCache>
                <c:formatCode>General</c:formatCode>
                <c:ptCount val="1"/>
              </c:numCache>
            </c:numRef>
          </c:val>
          <c:extLst>
            <c:ext xmlns:c16="http://schemas.microsoft.com/office/drawing/2014/chart" uri="{C3380CC4-5D6E-409C-BE32-E72D297353CC}">
              <c16:uniqueId val="{00000000-9017-4749-ACF6-A54AA67056A5}"/>
            </c:ext>
          </c:extLst>
        </c:ser>
        <c:dLbls>
          <c:showLegendKey val="0"/>
          <c:showVal val="0"/>
          <c:showCatName val="0"/>
          <c:showSerName val="0"/>
          <c:showPercent val="0"/>
          <c:showBubbleSize val="0"/>
        </c:dLbls>
        <c:gapWidth val="150"/>
        <c:overlap val="100"/>
        <c:axId val="252197376"/>
        <c:axId val="252196960"/>
      </c:barChart>
      <c:catAx>
        <c:axId val="252197376"/>
        <c:scaling>
          <c:orientation val="minMax"/>
        </c:scaling>
        <c:delete val="0"/>
        <c:axPos val="l"/>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52196960"/>
        <c:crosses val="autoZero"/>
        <c:auto val="1"/>
        <c:lblAlgn val="ctr"/>
        <c:lblOffset val="100"/>
        <c:noMultiLvlLbl val="0"/>
      </c:catAx>
      <c:valAx>
        <c:axId val="252196960"/>
        <c:scaling>
          <c:orientation val="minMax"/>
        </c:scaling>
        <c:delete val="0"/>
        <c:axPos val="b"/>
        <c:majorGridlines>
          <c:spPr>
            <a:ln w="9525" cap="flat" cmpd="sng" algn="ctr">
              <a:solidFill>
                <a:schemeClr val="lt1">
                  <a:alpha val="10000"/>
                  <a:lumMod val="9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crossAx val="252197376"/>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US"/>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11</xdr:col>
      <xdr:colOff>247650</xdr:colOff>
      <xdr:row>0</xdr:row>
      <xdr:rowOff>57150</xdr:rowOff>
    </xdr:from>
    <xdr:to>
      <xdr:col>22</xdr:col>
      <xdr:colOff>419100</xdr:colOff>
      <xdr:row>31</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31</xdr:row>
      <xdr:rowOff>28576</xdr:rowOff>
    </xdr:from>
    <xdr:to>
      <xdr:col>22</xdr:col>
      <xdr:colOff>419100</xdr:colOff>
      <xdr:row>51</xdr:row>
      <xdr:rowOff>9526</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38101</xdr:colOff>
      <xdr:row>0</xdr:row>
      <xdr:rowOff>57151</xdr:rowOff>
    </xdr:from>
    <xdr:to>
      <xdr:col>11</xdr:col>
      <xdr:colOff>228601</xdr:colOff>
      <xdr:row>31</xdr:row>
      <xdr:rowOff>3811</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76200</xdr:colOff>
      <xdr:row>1</xdr:row>
      <xdr:rowOff>180975</xdr:rowOff>
    </xdr:from>
    <xdr:to>
      <xdr:col>47</xdr:col>
      <xdr:colOff>523874</xdr:colOff>
      <xdr:row>84</xdr:row>
      <xdr:rowOff>142875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xdr:row>
      <xdr:rowOff>171450</xdr:rowOff>
    </xdr:from>
    <xdr:to>
      <xdr:col>22</xdr:col>
      <xdr:colOff>180975</xdr:colOff>
      <xdr:row>38</xdr:row>
      <xdr:rowOff>123825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85725</xdr:colOff>
      <xdr:row>2</xdr:row>
      <xdr:rowOff>14287</xdr:rowOff>
    </xdr:from>
    <xdr:to>
      <xdr:col>15</xdr:col>
      <xdr:colOff>257175</xdr:colOff>
      <xdr:row>29</xdr:row>
      <xdr:rowOff>9525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 Schissler" refreshedDate="45054.629106828703" createdVersion="8" refreshedVersion="8" minRefreshableVersion="3" recordCount="741" xr:uid="{00000000-000A-0000-FFFF-FFFF02000000}">
  <cacheSource type="worksheet">
    <worksheetSource ref="A1:R742" sheet="RawData"/>
  </cacheSource>
  <cacheFields count="18">
    <cacheField name="id" numFmtId="0">
      <sharedItems containsString="0" containsBlank="1" containsNumber="1" containsInteger="1" minValue="239485" maxValue="240888"/>
    </cacheField>
    <cacheField name="createdAt" numFmtId="0">
      <sharedItems containsNonDate="0" containsDate="1" containsString="0" containsBlank="1" minDate="2023-01-06T00:00:00" maxDate="2023-05-06T00:00:00"/>
    </cacheField>
    <cacheField name="locationName" numFmtId="0">
      <sharedItems containsBlank="1"/>
    </cacheField>
    <cacheField name="locationTimezone" numFmtId="0">
      <sharedItems containsBlank="1"/>
    </cacheField>
    <cacheField name="techniqueName" numFmtId="0">
      <sharedItems containsBlank="1" count="6">
        <s v="Use Mid-range Wrist Motions"/>
        <s v="Position Elbows Closer"/>
        <s v="Leg Strength and Balance "/>
        <s v="Leg Strength and Balance"/>
        <s v="Lifting Options, Technique and Pace"/>
        <m/>
      </sharedItems>
    </cacheField>
    <cacheField name="techniqueSubtitle1" numFmtId="0">
      <sharedItems containsBlank="1" count="18">
        <s v="Reposition Your Work"/>
        <s v="Smart Setup"/>
        <s v="Push Back and Turn"/>
        <s v="Pre-position One Foot Back"/>
        <s v="Carry the weight on your arm or shoulder"/>
        <s v="Lifting Technique"/>
        <s v="Same Side Hand and Foot"/>
        <m/>
        <s v="Slide the load" u="1"/>
        <s v="Adjust your hand position" u="1"/>
        <s v="Push with little finger side of palm" u="1"/>
        <s v="Center-line Handoff" u="1"/>
        <s v="Lifting Options" u="1"/>
        <s v="Set the load" u="1"/>
        <s v="Build a bridge" u="1"/>
        <s v="Change your body position" u="1"/>
        <s v="Change your hand position" u="1"/>
        <s v="Step closer" u="1"/>
      </sharedItems>
    </cacheField>
    <cacheField name="techniqueSubtitle2" numFmtId="0">
      <sharedItems containsBlank="1" count="18">
        <m/>
        <s v="Arrange Storage"/>
        <s v="Raised Work Surface"/>
        <s v="Adjust Seat"/>
        <s v="Offloading or Stacking"/>
        <s v="Same Side Hand and Foot"/>
        <s v="Reach Low"/>
        <s v="Reach High"/>
        <s v="Flex Knees" u="1"/>
        <s v="Set the load down then slide it away" u="1"/>
        <s v="Slide the load closer before lifting" u="1"/>
        <s v="Getting Help" u="1"/>
        <s v="Triangle of Vision" u="1"/>
        <s v="Step towards or around" u="1"/>
        <s v="Position Elbows Closer" u="1"/>
        <s v="Align Spinal In-Curves" u="1"/>
        <s v="Pushing or Pulling" u="1"/>
        <s v="Using Equipment" u="1"/>
      </sharedItems>
    </cacheField>
    <cacheField name="companyName" numFmtId="0">
      <sharedItems containsBlank="1"/>
    </cacheField>
    <cacheField name="ObservationDate" numFmtId="0">
      <sharedItems containsBlank="1"/>
    </cacheField>
    <cacheField name="observerName" numFmtId="0">
      <sharedItems containsBlank="1" count="25">
        <s v="Sher Her"/>
        <s v="Jeffrey Bizal"/>
        <s v="Shannon Somerville"/>
        <s v="David Alexander"/>
        <s v="Cindy Johnston"/>
        <s v="Shirlee Petersen"/>
        <s v="Kongmeng Thao"/>
        <s v="Nicholas Kulak"/>
        <s v="Mathew Frank"/>
        <s v="Sahil Patel"/>
        <s v="Kera Allen"/>
        <s v="Alan Mansfield"/>
        <s v="Ivanna Tipton"/>
        <m/>
        <s v="Matt Pace" u="1"/>
        <s v="Brenda Oliveri" u="1"/>
        <s v="Jerel Machuca" u="1"/>
        <s v="Blake Koster" u="1"/>
        <s v="Brittney Davis" u="1"/>
        <s v="Clinton Jay" u="1"/>
        <s v="Elisha Choi" u="1"/>
        <s v="Daniel Adams" u="1"/>
        <s v="Alex Jacot" u="1"/>
        <s v="John Frisk" u="1"/>
        <s v="Nyla Pope" u="1"/>
      </sharedItems>
    </cacheField>
    <cacheField name="observerEmail" numFmtId="0">
      <sharedItems containsBlank="1"/>
    </cacheField>
    <cacheField name="result" numFmtId="0">
      <sharedItems containsBlank="1"/>
    </cacheField>
    <cacheField name="notes" numFmtId="0">
      <sharedItems containsNonDate="0" containsString="0" containsBlank="1"/>
    </cacheField>
    <cacheField name="Week" numFmtId="0">
      <sharedItems containsMixedTypes="1" containsNumber="1" containsInteger="1" minValue="1" maxValue="49" count="50">
        <n v="1"/>
        <n v="2"/>
        <n v="3"/>
        <n v="4"/>
        <n v="5"/>
        <n v="6"/>
        <n v="7"/>
        <n v="8"/>
        <n v="9"/>
        <n v="10"/>
        <n v="11"/>
        <n v="12"/>
        <n v="13"/>
        <n v="14"/>
        <n v="15"/>
        <n v="16"/>
        <n v="17"/>
        <n v="18"/>
        <s v=" "/>
        <n v="34" u="1"/>
        <n v="36" u="1"/>
        <n v="38" u="1"/>
        <n v="40" u="1"/>
        <n v="42" u="1"/>
        <n v="44" u="1"/>
        <n v="46" u="1"/>
        <n v="48" u="1"/>
        <n v="19" u="1"/>
        <n v="20" u="1"/>
        <n v="33" u="1"/>
        <n v="21" u="1"/>
        <n v="35" u="1"/>
        <n v="22" u="1"/>
        <n v="37" u="1"/>
        <n v="23" u="1"/>
        <n v="39" u="1"/>
        <n v="24" u="1"/>
        <n v="41" u="1"/>
        <n v="25" u="1"/>
        <n v="43" u="1"/>
        <n v="26" u="1"/>
        <n v="45" u="1"/>
        <n v="27" u="1"/>
        <n v="47" u="1"/>
        <n v="28" u="1"/>
        <n v="49" u="1"/>
        <n v="29" u="1"/>
        <n v="30" u="1"/>
        <n v="31" u="1"/>
        <n v="32" u="1"/>
      </sharedItems>
    </cacheField>
    <cacheField name="Month" numFmtId="0">
      <sharedItems containsMixedTypes="1" containsNumber="1" containsInteger="1" minValue="1" maxValue="12" count="13">
        <n v="1"/>
        <n v="2"/>
        <n v="3"/>
        <n v="4"/>
        <n v="5"/>
        <s v=" "/>
        <n v="6" u="1"/>
        <n v="7" u="1"/>
        <n v="8" u="1"/>
        <n v="9" u="1"/>
        <n v="10" u="1"/>
        <n v="11" u="1"/>
        <n v="12" u="1"/>
      </sharedItems>
    </cacheField>
    <cacheField name="outcome" numFmtId="0">
      <sharedItems containsBlank="1" count="3">
        <s v="Provided Guidance"/>
        <s v="Observed Better"/>
        <m u="1"/>
      </sharedItems>
    </cacheField>
    <cacheField name="monthName" numFmtId="0">
      <sharedItems containsBlank="1" count="14">
        <s v="January"/>
        <s v="February"/>
        <s v="March"/>
        <s v="April"/>
        <s v="May"/>
        <s v=" "/>
        <m u="1"/>
        <s v="June" u="1"/>
        <s v="August" u="1"/>
        <s v="October" u="1"/>
        <s v="September" u="1"/>
        <s v="November" u="1"/>
        <s v="December" u="1"/>
        <s v="July" u="1"/>
      </sharedItems>
    </cacheField>
    <cacheField name="formalWeek" numFmtId="0">
      <sharedItems containsBlank="1" count="51">
        <s v="Week 1"/>
        <s v="Week 2"/>
        <s v="Week 3"/>
        <s v="Week 4"/>
        <s v="Week 5"/>
        <s v="Week 6"/>
        <s v="Week 7"/>
        <s v="Week 8"/>
        <s v="Week 9"/>
        <s v="Week 10"/>
        <s v="Week 11"/>
        <s v="Week 12"/>
        <s v="Week 13"/>
        <s v="Week 14"/>
        <s v="Week 15"/>
        <s v="Week 16"/>
        <s v="Week 17"/>
        <s v="Week 18"/>
        <s v=" "/>
        <m u="1"/>
        <s v="Week 20" u="1"/>
        <s v="Week 30" u="1"/>
        <s v="Week 21" u="1"/>
        <s v="Week 40" u="1"/>
        <s v="Week 31" u="1"/>
        <s v="Week 22" u="1"/>
        <s v="Week 41" u="1"/>
        <s v="Week 32" u="1"/>
        <s v="Week 23" u="1"/>
        <s v="Week 42" u="1"/>
        <s v="Week 33" u="1"/>
        <s v="Week 24" u="1"/>
        <s v="Week 43" u="1"/>
        <s v="Week 34" u="1"/>
        <s v="Week 25" u="1"/>
        <s v="Week 44" u="1"/>
        <s v="Week 35" u="1"/>
        <s v="Week 26" u="1"/>
        <s v="Week 45" u="1"/>
        <s v="Week 36" u="1"/>
        <s v="Week 27" u="1"/>
        <s v="Week 46" u="1"/>
        <s v="Week 37" u="1"/>
        <s v="Week 28" u="1"/>
        <s v="Week 19" u="1"/>
        <s v="Week 47" u="1"/>
        <s v="Week 38" u="1"/>
        <s v="Week 29" u="1"/>
        <s v="Week 48" u="1"/>
        <s v="Week 39" u="1"/>
        <s v="Week 49"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741">
  <r>
    <n v="239485"/>
    <d v="2023-01-06T00:00:00"/>
    <s v="Rivergate"/>
    <s v="America/Los_Angeles"/>
    <x v="0"/>
    <x v="0"/>
    <x v="0"/>
    <s v="Columbia Sportswear"/>
    <s v="2023-01-06 00:02:17 -0800 PST"/>
    <x v="0"/>
    <s v="SHer@columbia.com"/>
    <s v="I provided guidance about using better technique."/>
    <m/>
    <x v="0"/>
    <x v="0"/>
    <x v="0"/>
    <x v="0"/>
    <x v="0"/>
  </r>
  <r>
    <n v="239486"/>
    <d v="2023-01-06T00:00:00"/>
    <s v="Rivergate"/>
    <s v="America/Los_Angeles"/>
    <x v="1"/>
    <x v="1"/>
    <x v="1"/>
    <s v="Columbia Sportswear"/>
    <s v="2023-01-06 00:02:31 -0800 PST"/>
    <x v="0"/>
    <s v="SHer@columbia.com"/>
    <s v="I provided guidance about using better technique."/>
    <m/>
    <x v="0"/>
    <x v="0"/>
    <x v="0"/>
    <x v="0"/>
    <x v="0"/>
  </r>
  <r>
    <n v="239487"/>
    <d v="2023-01-06T00:00:00"/>
    <s v="Rivergate"/>
    <s v="America/Los_Angeles"/>
    <x v="1"/>
    <x v="1"/>
    <x v="1"/>
    <s v="Columbia Sportswear"/>
    <s v="2023-01-06 00:02:43 -0800 PST"/>
    <x v="0"/>
    <s v="SHer@columbia.com"/>
    <s v="I observed use of better technique."/>
    <m/>
    <x v="0"/>
    <x v="0"/>
    <x v="1"/>
    <x v="0"/>
    <x v="0"/>
  </r>
  <r>
    <n v="239488"/>
    <d v="2023-01-06T00:00:00"/>
    <s v="Rivergate"/>
    <s v="America/Los_Angeles"/>
    <x v="1"/>
    <x v="1"/>
    <x v="1"/>
    <s v="Columbia Sportswear"/>
    <s v="2023-01-06 00:03:51 -0800 PST"/>
    <x v="1"/>
    <s v="JBizal@columbia.com"/>
    <s v="I observed use of better technique."/>
    <m/>
    <x v="0"/>
    <x v="0"/>
    <x v="1"/>
    <x v="0"/>
    <x v="0"/>
  </r>
  <r>
    <n v="239489"/>
    <d v="2023-01-06T00:00:00"/>
    <s v="Rivergate"/>
    <s v="America/Los_Angeles"/>
    <x v="1"/>
    <x v="1"/>
    <x v="2"/>
    <s v="Columbia Sportswear"/>
    <s v="2023-01-06 00:04:12 -0800 PST"/>
    <x v="1"/>
    <s v="JBizal@columbia.com"/>
    <s v="I observed use of better technique."/>
    <m/>
    <x v="0"/>
    <x v="0"/>
    <x v="1"/>
    <x v="0"/>
    <x v="0"/>
  </r>
  <r>
    <n v="239491"/>
    <d v="2023-01-06T00:00:00"/>
    <s v="Rivergate"/>
    <s v="America/Los_Angeles"/>
    <x v="1"/>
    <x v="1"/>
    <x v="2"/>
    <s v="Columbia Sportswear"/>
    <s v="2023-01-06 00:06:24 -0800 PST"/>
    <x v="1"/>
    <s v="JBizal@columbia.com"/>
    <s v="I observed use of better technique."/>
    <m/>
    <x v="0"/>
    <x v="0"/>
    <x v="1"/>
    <x v="0"/>
    <x v="0"/>
  </r>
  <r>
    <n v="239504"/>
    <d v="2023-01-06T00:00:00"/>
    <s v="Rivergate"/>
    <s v="America/Los_Angeles"/>
    <x v="0"/>
    <x v="0"/>
    <x v="0"/>
    <s v="Columbia Sportswear"/>
    <s v="2023-01-06 09:09:48 -0800 PST"/>
    <x v="2"/>
    <s v="SSomerville@columbia.com"/>
    <s v="I observed use of better technique."/>
    <m/>
    <x v="0"/>
    <x v="0"/>
    <x v="1"/>
    <x v="0"/>
    <x v="0"/>
  </r>
  <r>
    <n v="239505"/>
    <d v="2023-01-06T00:00:00"/>
    <s v="Rivergate"/>
    <s v="America/Los_Angeles"/>
    <x v="0"/>
    <x v="0"/>
    <x v="0"/>
    <s v="Columbia Sportswear"/>
    <s v="2023-01-06 09:10:34 -0800 PST"/>
    <x v="2"/>
    <s v="SSomerville@columbia.com"/>
    <s v="I observed use of better technique."/>
    <m/>
    <x v="0"/>
    <x v="0"/>
    <x v="1"/>
    <x v="0"/>
    <x v="0"/>
  </r>
  <r>
    <n v="239506"/>
    <d v="2023-01-06T00:00:00"/>
    <s v="Rivergate"/>
    <s v="America/Los_Angeles"/>
    <x v="0"/>
    <x v="0"/>
    <x v="0"/>
    <s v="Columbia Sportswear"/>
    <s v="2023-01-06 09:11:40 -0800 PST"/>
    <x v="2"/>
    <s v="SSomerville@columbia.com"/>
    <s v="I observed use of better technique."/>
    <m/>
    <x v="0"/>
    <x v="0"/>
    <x v="1"/>
    <x v="0"/>
    <x v="0"/>
  </r>
  <r>
    <n v="239515"/>
    <d v="2023-01-06T00:00:00"/>
    <s v="Rivergate"/>
    <s v="America/Los_Angeles"/>
    <x v="1"/>
    <x v="1"/>
    <x v="3"/>
    <s v="Columbia Sportswear"/>
    <s v="2023-01-06 15:33:44 -0800 PST"/>
    <x v="3"/>
    <s v="David.Alexander@columbia.com"/>
    <s v="I observed use of better technique."/>
    <m/>
    <x v="0"/>
    <x v="0"/>
    <x v="1"/>
    <x v="0"/>
    <x v="0"/>
  </r>
  <r>
    <n v="239516"/>
    <d v="2023-01-06T00:00:00"/>
    <s v="Rivergate"/>
    <s v="America/Los_Angeles"/>
    <x v="1"/>
    <x v="1"/>
    <x v="3"/>
    <s v="Columbia Sportswear"/>
    <s v="2023-01-06 15:33:54 -0800 PST"/>
    <x v="3"/>
    <s v="David.Alexander@columbia.com"/>
    <s v="I provided guidance about using better technique."/>
    <m/>
    <x v="0"/>
    <x v="0"/>
    <x v="0"/>
    <x v="0"/>
    <x v="0"/>
  </r>
  <r>
    <n v="239517"/>
    <d v="2023-01-06T00:00:00"/>
    <s v="Rivergate"/>
    <s v="America/Los_Angeles"/>
    <x v="1"/>
    <x v="1"/>
    <x v="3"/>
    <s v="Columbia Sportswear"/>
    <s v="2023-01-06 15:34:03 -0800 PST"/>
    <x v="3"/>
    <s v="David.Alexander@columbia.com"/>
    <s v="I provided guidance about using better technique."/>
    <m/>
    <x v="0"/>
    <x v="0"/>
    <x v="0"/>
    <x v="0"/>
    <x v="0"/>
  </r>
  <r>
    <n v="239544"/>
    <d v="2023-01-10T00:00:00"/>
    <s v="Rivergate"/>
    <s v="America/Los_Angeles"/>
    <x v="0"/>
    <x v="0"/>
    <x v="0"/>
    <s v="Columbia Sportswear"/>
    <s v="2023-01-09 16:37:25 -0800 PST"/>
    <x v="4"/>
    <s v="cindy.johnston@columbia.com"/>
    <s v="I provided guidance about using better technique."/>
    <m/>
    <x v="1"/>
    <x v="0"/>
    <x v="0"/>
    <x v="0"/>
    <x v="1"/>
  </r>
  <r>
    <n v="239587"/>
    <d v="2023-01-13T00:00:00"/>
    <s v="Rivergate"/>
    <s v="America/Los_Angeles"/>
    <x v="1"/>
    <x v="1"/>
    <x v="2"/>
    <s v="Columbia Sportswear"/>
    <s v="2023-01-12 21:11:08 -0800 PST"/>
    <x v="5"/>
    <s v="SPetersen@columbia.com"/>
    <s v="I provided guidance about using better technique."/>
    <m/>
    <x v="1"/>
    <x v="0"/>
    <x v="0"/>
    <x v="0"/>
    <x v="1"/>
  </r>
  <r>
    <n v="239588"/>
    <d v="2023-01-13T00:00:00"/>
    <s v="Rivergate"/>
    <s v="America/Los_Angeles"/>
    <x v="0"/>
    <x v="0"/>
    <x v="0"/>
    <s v="Columbia Sportswear"/>
    <s v="2023-01-12 21:13:26 -0800 PST"/>
    <x v="5"/>
    <s v="SPetersen@columbia.com"/>
    <s v="I observed use of better technique."/>
    <m/>
    <x v="1"/>
    <x v="0"/>
    <x v="1"/>
    <x v="0"/>
    <x v="1"/>
  </r>
  <r>
    <n v="239589"/>
    <d v="2023-01-13T00:00:00"/>
    <s v="Rivergate"/>
    <s v="America/Los_Angeles"/>
    <x v="1"/>
    <x v="1"/>
    <x v="3"/>
    <s v="Columbia Sportswear"/>
    <s v="2023-01-12 21:16:15 -0800 PST"/>
    <x v="5"/>
    <s v="SPetersen@columbia.com"/>
    <s v="I observed use of better technique."/>
    <m/>
    <x v="1"/>
    <x v="0"/>
    <x v="1"/>
    <x v="0"/>
    <x v="1"/>
  </r>
  <r>
    <n v="239601"/>
    <d v="2023-01-13T00:00:00"/>
    <s v="Rivergate"/>
    <s v="America/Los_Angeles"/>
    <x v="0"/>
    <x v="0"/>
    <x v="0"/>
    <s v="Columbia Sportswear"/>
    <s v="2023-01-13 13:01:04 -0800 PST"/>
    <x v="2"/>
    <s v="SSomerville@columbia.com"/>
    <s v="I observed use of better technique."/>
    <m/>
    <x v="1"/>
    <x v="0"/>
    <x v="1"/>
    <x v="0"/>
    <x v="1"/>
  </r>
  <r>
    <n v="239602"/>
    <d v="2023-01-13T00:00:00"/>
    <s v="Rivergate"/>
    <s v="America/Los_Angeles"/>
    <x v="1"/>
    <x v="1"/>
    <x v="2"/>
    <s v="Columbia Sportswear"/>
    <s v="2023-01-13 13:02:27 -0800 PST"/>
    <x v="2"/>
    <s v="SSomerville@columbia.com"/>
    <s v="I observed use of better technique."/>
    <m/>
    <x v="1"/>
    <x v="0"/>
    <x v="1"/>
    <x v="0"/>
    <x v="1"/>
  </r>
  <r>
    <n v="239603"/>
    <d v="2023-01-13T00:00:00"/>
    <s v="Rivergate"/>
    <s v="America/Los_Angeles"/>
    <x v="1"/>
    <x v="1"/>
    <x v="1"/>
    <s v="Columbia Sportswear"/>
    <s v="2023-01-13 13:04:14 -0800 PST"/>
    <x v="2"/>
    <s v="SSomerville@columbia.com"/>
    <s v="I observed use of better technique."/>
    <m/>
    <x v="1"/>
    <x v="0"/>
    <x v="1"/>
    <x v="0"/>
    <x v="1"/>
  </r>
  <r>
    <n v="239677"/>
    <d v="2023-01-19T00:00:00"/>
    <s v="Rivergate"/>
    <s v="America/Los_Angeles"/>
    <x v="0"/>
    <x v="0"/>
    <x v="0"/>
    <s v="Columbia Sportswear"/>
    <s v="2023-01-19 06:04:55 -0800 PST"/>
    <x v="6"/>
    <s v="KThao@columbia.com"/>
    <s v="I observed use of better technique."/>
    <m/>
    <x v="2"/>
    <x v="0"/>
    <x v="1"/>
    <x v="0"/>
    <x v="2"/>
  </r>
  <r>
    <n v="239678"/>
    <d v="2023-01-19T00:00:00"/>
    <s v="Rivergate"/>
    <s v="America/Los_Angeles"/>
    <x v="1"/>
    <x v="1"/>
    <x v="2"/>
    <s v="Columbia Sportswear"/>
    <s v="2023-01-19 06:05:06 -0800 PST"/>
    <x v="6"/>
    <s v="KThao@columbia.com"/>
    <s v="I observed use of better technique."/>
    <m/>
    <x v="2"/>
    <x v="0"/>
    <x v="1"/>
    <x v="0"/>
    <x v="2"/>
  </r>
  <r>
    <n v="239679"/>
    <d v="2023-01-19T00:00:00"/>
    <s v="Rivergate"/>
    <s v="America/Los_Angeles"/>
    <x v="1"/>
    <x v="1"/>
    <x v="3"/>
    <s v="Columbia Sportswear"/>
    <s v="2023-01-19 06:05:19 -0800 PST"/>
    <x v="6"/>
    <s v="KThao@columbia.com"/>
    <s v="I observed use of better technique."/>
    <m/>
    <x v="2"/>
    <x v="0"/>
    <x v="1"/>
    <x v="0"/>
    <x v="2"/>
  </r>
  <r>
    <n v="239688"/>
    <d v="2023-01-20T00:00:00"/>
    <s v="Rivergate"/>
    <s v="America/Los_Angeles"/>
    <x v="2"/>
    <x v="2"/>
    <x v="0"/>
    <s v="Columbia Sportswear"/>
    <s v="2023-01-19 20:11:39 -0800 PST"/>
    <x v="7"/>
    <s v="Nicholas.Kulak@columbia.com"/>
    <s v="I observed use of better technique."/>
    <m/>
    <x v="2"/>
    <x v="0"/>
    <x v="1"/>
    <x v="0"/>
    <x v="2"/>
  </r>
  <r>
    <n v="239689"/>
    <d v="2023-01-20T00:00:00"/>
    <s v="Rivergate"/>
    <s v="America/Los_Angeles"/>
    <x v="3"/>
    <x v="3"/>
    <x v="4"/>
    <s v="Columbia Sportswear"/>
    <s v="2023-01-19 20:12:57 -0800 PST"/>
    <x v="7"/>
    <s v="Nicholas.Kulak@columbia.com"/>
    <s v="I observed use of better technique."/>
    <m/>
    <x v="2"/>
    <x v="0"/>
    <x v="1"/>
    <x v="0"/>
    <x v="2"/>
  </r>
  <r>
    <n v="239690"/>
    <d v="2023-01-20T00:00:00"/>
    <s v="Rivergate"/>
    <s v="America/Los_Angeles"/>
    <x v="0"/>
    <x v="4"/>
    <x v="0"/>
    <s v="Columbia Sportswear"/>
    <s v="2023-01-19 20:15:07 -0800 PST"/>
    <x v="7"/>
    <s v="Nicholas.Kulak@columbia.com"/>
    <s v="I observed use of better technique."/>
    <m/>
    <x v="2"/>
    <x v="0"/>
    <x v="1"/>
    <x v="0"/>
    <x v="2"/>
  </r>
  <r>
    <n v="239691"/>
    <d v="2023-01-20T00:00:00"/>
    <s v="Rivergate"/>
    <s v="America/Los_Angeles"/>
    <x v="3"/>
    <x v="3"/>
    <x v="4"/>
    <s v="Columbia Sportswear"/>
    <s v="2023-01-19 22:14:06 -0800 PST"/>
    <x v="5"/>
    <s v="SPetersen@columbia.com"/>
    <s v="I observed use of better technique."/>
    <m/>
    <x v="2"/>
    <x v="0"/>
    <x v="1"/>
    <x v="0"/>
    <x v="2"/>
  </r>
  <r>
    <n v="239692"/>
    <d v="2023-01-20T00:00:00"/>
    <s v="Rivergate"/>
    <s v="America/Los_Angeles"/>
    <x v="0"/>
    <x v="4"/>
    <x v="0"/>
    <s v="Columbia Sportswear"/>
    <s v="2023-01-19 22:20:28 -0800 PST"/>
    <x v="5"/>
    <s v="SPetersen@columbia.com"/>
    <s v="I provided guidance about using better technique."/>
    <m/>
    <x v="2"/>
    <x v="0"/>
    <x v="0"/>
    <x v="0"/>
    <x v="2"/>
  </r>
  <r>
    <n v="239693"/>
    <d v="2023-01-20T00:00:00"/>
    <s v="Rivergate"/>
    <s v="America/Los_Angeles"/>
    <x v="3"/>
    <x v="3"/>
    <x v="4"/>
    <s v="Columbia Sportswear"/>
    <s v="2023-01-19 22:21:50 -0800 PST"/>
    <x v="5"/>
    <s v="SPetersen@columbia.com"/>
    <s v="I observed use of better technique."/>
    <m/>
    <x v="2"/>
    <x v="0"/>
    <x v="1"/>
    <x v="0"/>
    <x v="2"/>
  </r>
  <r>
    <n v="239694"/>
    <d v="2023-01-20T00:00:00"/>
    <s v="Rivergate"/>
    <s v="America/Los_Angeles"/>
    <x v="3"/>
    <x v="3"/>
    <x v="4"/>
    <s v="Columbia Sportswear"/>
    <s v="2023-01-19 22:52:50 -0800 PST"/>
    <x v="1"/>
    <s v="JBizal@columbia.com"/>
    <s v="I observed use of better technique."/>
    <m/>
    <x v="2"/>
    <x v="0"/>
    <x v="1"/>
    <x v="0"/>
    <x v="2"/>
  </r>
  <r>
    <n v="239695"/>
    <d v="2023-01-20T00:00:00"/>
    <s v="Rivergate"/>
    <s v="America/Los_Angeles"/>
    <x v="3"/>
    <x v="3"/>
    <x v="4"/>
    <s v="Columbia Sportswear"/>
    <s v="2023-01-19 23:25:24 -0800 PST"/>
    <x v="1"/>
    <s v="JBizal@columbia.com"/>
    <s v="I observed use of better technique."/>
    <m/>
    <x v="2"/>
    <x v="0"/>
    <x v="1"/>
    <x v="0"/>
    <x v="2"/>
  </r>
  <r>
    <n v="239696"/>
    <d v="2023-01-20T00:00:00"/>
    <s v="Rivergate"/>
    <s v="America/Los_Angeles"/>
    <x v="3"/>
    <x v="3"/>
    <x v="4"/>
    <s v="Columbia Sportswear"/>
    <s v="2023-01-19 23:59:01 -0800 PST"/>
    <x v="1"/>
    <s v="JBizal@columbia.com"/>
    <s v="I observed use of better technique."/>
    <m/>
    <x v="2"/>
    <x v="0"/>
    <x v="1"/>
    <x v="0"/>
    <x v="2"/>
  </r>
  <r>
    <n v="239707"/>
    <d v="2023-01-20T00:00:00"/>
    <s v="Rivergate"/>
    <s v="America/Los_Angeles"/>
    <x v="3"/>
    <x v="3"/>
    <x v="4"/>
    <s v="Columbia Sportswear"/>
    <s v="2023-01-20 08:29:12 -0800 PST"/>
    <x v="8"/>
    <s v="matthew.frank@columbia.com"/>
    <s v="I observed use of better technique."/>
    <m/>
    <x v="2"/>
    <x v="0"/>
    <x v="1"/>
    <x v="0"/>
    <x v="2"/>
  </r>
  <r>
    <n v="239708"/>
    <d v="2023-01-20T00:00:00"/>
    <s v="Rivergate"/>
    <s v="America/Los_Angeles"/>
    <x v="3"/>
    <x v="3"/>
    <x v="4"/>
    <s v="Columbia Sportswear"/>
    <s v="2023-01-20 08:36:29 -0800 PST"/>
    <x v="8"/>
    <s v="matthew.frank@columbia.com"/>
    <s v="I observed use of better technique."/>
    <m/>
    <x v="2"/>
    <x v="0"/>
    <x v="1"/>
    <x v="0"/>
    <x v="2"/>
  </r>
  <r>
    <n v="239709"/>
    <d v="2023-01-20T00:00:00"/>
    <s v="Rivergate"/>
    <s v="America/Los_Angeles"/>
    <x v="0"/>
    <x v="4"/>
    <x v="0"/>
    <s v="Columbia Sportswear"/>
    <s v="2023-01-20 11:19:20 -0800 PST"/>
    <x v="8"/>
    <s v="matthew.frank@columbia.com"/>
    <s v="I observed use of better technique."/>
    <m/>
    <x v="2"/>
    <x v="0"/>
    <x v="1"/>
    <x v="0"/>
    <x v="2"/>
  </r>
  <r>
    <n v="239710"/>
    <d v="2023-01-20T00:00:00"/>
    <s v="Rivergate"/>
    <s v="America/Los_Angeles"/>
    <x v="3"/>
    <x v="3"/>
    <x v="4"/>
    <s v="Columbia Sportswear"/>
    <s v="2023-01-20 12:30:52 -0800 PST"/>
    <x v="2"/>
    <s v="SSomerville@columbia.com"/>
    <s v="I observed use of better technique."/>
    <m/>
    <x v="2"/>
    <x v="0"/>
    <x v="1"/>
    <x v="0"/>
    <x v="2"/>
  </r>
  <r>
    <n v="239711"/>
    <d v="2023-01-20T00:00:00"/>
    <s v="Rivergate"/>
    <s v="America/Los_Angeles"/>
    <x v="0"/>
    <x v="4"/>
    <x v="0"/>
    <s v="Columbia Sportswear"/>
    <s v="2023-01-20 12:32:22 -0800 PST"/>
    <x v="2"/>
    <s v="SSomerville@columbia.com"/>
    <s v="I observed use of better technique."/>
    <m/>
    <x v="2"/>
    <x v="0"/>
    <x v="1"/>
    <x v="0"/>
    <x v="2"/>
  </r>
  <r>
    <n v="239712"/>
    <d v="2023-01-20T00:00:00"/>
    <s v="Rivergate"/>
    <s v="America/Los_Angeles"/>
    <x v="3"/>
    <x v="3"/>
    <x v="4"/>
    <s v="Columbia Sportswear"/>
    <s v="2023-01-20 12:33:23 -0800 PST"/>
    <x v="2"/>
    <s v="SSomerville@columbia.com"/>
    <s v="I observed use of better technique."/>
    <m/>
    <x v="2"/>
    <x v="0"/>
    <x v="1"/>
    <x v="0"/>
    <x v="2"/>
  </r>
  <r>
    <n v="239713"/>
    <d v="2023-01-20T00:00:00"/>
    <s v="Rivergate"/>
    <s v="America/Los_Angeles"/>
    <x v="2"/>
    <x v="2"/>
    <x v="0"/>
    <s v="Columbia Sportswear"/>
    <s v="2023-01-20 13:56:17 -0800 PST"/>
    <x v="3"/>
    <s v="David.Alexander@columbia.com"/>
    <s v="I observed use of better technique."/>
    <m/>
    <x v="2"/>
    <x v="0"/>
    <x v="1"/>
    <x v="0"/>
    <x v="2"/>
  </r>
  <r>
    <n v="239714"/>
    <d v="2023-01-20T00:00:00"/>
    <s v="Rivergate"/>
    <s v="America/Los_Angeles"/>
    <x v="2"/>
    <x v="2"/>
    <x v="0"/>
    <s v="Columbia Sportswear"/>
    <s v="2023-01-20 13:56:28 -0800 PST"/>
    <x v="3"/>
    <s v="David.Alexander@columbia.com"/>
    <s v="I observed use of better technique."/>
    <m/>
    <x v="2"/>
    <x v="0"/>
    <x v="1"/>
    <x v="0"/>
    <x v="2"/>
  </r>
  <r>
    <n v="239715"/>
    <d v="2023-01-20T00:00:00"/>
    <s v="Rivergate"/>
    <s v="America/Los_Angeles"/>
    <x v="3"/>
    <x v="3"/>
    <x v="4"/>
    <s v="Columbia Sportswear"/>
    <s v="2023-01-20 13:56:48 -0800 PST"/>
    <x v="3"/>
    <s v="David.Alexander@columbia.com"/>
    <s v="I provided guidance about using better technique."/>
    <m/>
    <x v="2"/>
    <x v="0"/>
    <x v="0"/>
    <x v="0"/>
    <x v="2"/>
  </r>
  <r>
    <n v="239736"/>
    <d v="2023-01-25T00:00:00"/>
    <s v="Rivergate"/>
    <s v="America/Los_Angeles"/>
    <x v="3"/>
    <x v="3"/>
    <x v="4"/>
    <s v="Columbia Sportswear"/>
    <s v="2023-01-25 00:40:51 -0800 PST"/>
    <x v="7"/>
    <s v="Nicholas.Kulak@columbia.com"/>
    <s v="I observed use of better technique."/>
    <m/>
    <x v="3"/>
    <x v="0"/>
    <x v="1"/>
    <x v="0"/>
    <x v="3"/>
  </r>
  <r>
    <n v="239737"/>
    <d v="2023-01-25T00:00:00"/>
    <s v="Rivergate"/>
    <s v="America/Los_Angeles"/>
    <x v="0"/>
    <x v="4"/>
    <x v="0"/>
    <s v="Columbia Sportswear"/>
    <s v="2023-01-25 00:42:47 -0800 PST"/>
    <x v="7"/>
    <s v="Nicholas.Kulak@columbia.com"/>
    <s v="I observed use of better technique."/>
    <m/>
    <x v="3"/>
    <x v="0"/>
    <x v="1"/>
    <x v="0"/>
    <x v="3"/>
  </r>
  <r>
    <n v="239738"/>
    <d v="2023-01-25T00:00:00"/>
    <s v="Rivergate"/>
    <s v="America/Los_Angeles"/>
    <x v="2"/>
    <x v="2"/>
    <x v="0"/>
    <s v="Columbia Sportswear"/>
    <s v="2023-01-25 00:44:15 -0800 PST"/>
    <x v="7"/>
    <s v="Nicholas.Kulak@columbia.com"/>
    <s v="I observed use of better technique."/>
    <m/>
    <x v="3"/>
    <x v="0"/>
    <x v="1"/>
    <x v="0"/>
    <x v="3"/>
  </r>
  <r>
    <n v="239753"/>
    <d v="2023-01-26T00:00:00"/>
    <s v="Rivergate"/>
    <s v="America/Los_Angeles"/>
    <x v="0"/>
    <x v="4"/>
    <x v="0"/>
    <s v="Columbia Sportswear"/>
    <s v="2023-01-26 11:00:19 -0800 PST"/>
    <x v="6"/>
    <s v="KThao@columbia.com"/>
    <s v="I observed use of better technique."/>
    <m/>
    <x v="3"/>
    <x v="0"/>
    <x v="1"/>
    <x v="0"/>
    <x v="3"/>
  </r>
  <r>
    <n v="239754"/>
    <d v="2023-01-26T00:00:00"/>
    <s v="Rivergate"/>
    <s v="America/Los_Angeles"/>
    <x v="2"/>
    <x v="2"/>
    <x v="0"/>
    <s v="Columbia Sportswear"/>
    <s v="2023-01-26 11:00:28 -0800 PST"/>
    <x v="6"/>
    <s v="KThao@columbia.com"/>
    <s v="I observed use of better technique."/>
    <m/>
    <x v="3"/>
    <x v="0"/>
    <x v="1"/>
    <x v="0"/>
    <x v="3"/>
  </r>
  <r>
    <n v="239755"/>
    <d v="2023-01-26T00:00:00"/>
    <s v="Rivergate"/>
    <s v="America/Los_Angeles"/>
    <x v="3"/>
    <x v="3"/>
    <x v="4"/>
    <s v="Columbia Sportswear"/>
    <s v="2023-01-26 11:00:37 -0800 PST"/>
    <x v="6"/>
    <s v="KThao@columbia.com"/>
    <s v="I observed use of better technique."/>
    <m/>
    <x v="3"/>
    <x v="0"/>
    <x v="1"/>
    <x v="0"/>
    <x v="3"/>
  </r>
  <r>
    <n v="239761"/>
    <d v="2023-01-27T00:00:00"/>
    <s v="Rivergate"/>
    <s v="America/Los_Angeles"/>
    <x v="3"/>
    <x v="3"/>
    <x v="4"/>
    <s v="Columbia Sportswear"/>
    <s v="2023-01-26 19:55:47 -0800 PST"/>
    <x v="1"/>
    <s v="JBizal@columbia.com"/>
    <s v="I observed use of better technique."/>
    <m/>
    <x v="3"/>
    <x v="0"/>
    <x v="1"/>
    <x v="0"/>
    <x v="3"/>
  </r>
  <r>
    <n v="239762"/>
    <d v="2023-01-27T00:00:00"/>
    <s v="Rivergate"/>
    <s v="America/Los_Angeles"/>
    <x v="0"/>
    <x v="4"/>
    <x v="0"/>
    <s v="Columbia Sportswear"/>
    <s v="2023-01-26 20:34:13 -0800 PST"/>
    <x v="1"/>
    <s v="JBizal@columbia.com"/>
    <s v="I observed use of better technique."/>
    <m/>
    <x v="3"/>
    <x v="0"/>
    <x v="1"/>
    <x v="0"/>
    <x v="3"/>
  </r>
  <r>
    <n v="239763"/>
    <d v="2023-01-27T00:00:00"/>
    <s v="Rivergate"/>
    <s v="America/Los_Angeles"/>
    <x v="3"/>
    <x v="3"/>
    <x v="4"/>
    <s v="Columbia Sportswear"/>
    <s v="2023-01-26 20:57:39 -0800 PST"/>
    <x v="1"/>
    <s v="JBizal@columbia.com"/>
    <s v="I observed use of better technique."/>
    <m/>
    <x v="3"/>
    <x v="0"/>
    <x v="1"/>
    <x v="0"/>
    <x v="3"/>
  </r>
  <r>
    <n v="239774"/>
    <d v="2023-01-27T00:00:00"/>
    <s v="Rivergate"/>
    <s v="America/Los_Angeles"/>
    <x v="2"/>
    <x v="2"/>
    <x v="0"/>
    <s v="Columbia Sportswear"/>
    <s v="2023-01-27 10:43:49 -0800 PST"/>
    <x v="3"/>
    <s v="David.Alexander@columbia.com"/>
    <s v="I observed use of better technique."/>
    <m/>
    <x v="3"/>
    <x v="0"/>
    <x v="1"/>
    <x v="0"/>
    <x v="3"/>
  </r>
  <r>
    <n v="239775"/>
    <d v="2023-01-27T00:00:00"/>
    <s v="Rivergate"/>
    <s v="America/Los_Angeles"/>
    <x v="3"/>
    <x v="3"/>
    <x v="4"/>
    <s v="Columbia Sportswear"/>
    <s v="2023-01-27 10:43:58 -0800 PST"/>
    <x v="3"/>
    <s v="David.Alexander@columbia.com"/>
    <s v="I observed use of better technique."/>
    <m/>
    <x v="3"/>
    <x v="0"/>
    <x v="1"/>
    <x v="0"/>
    <x v="3"/>
  </r>
  <r>
    <n v="239776"/>
    <d v="2023-01-27T00:00:00"/>
    <s v="Rivergate"/>
    <s v="America/Los_Angeles"/>
    <x v="2"/>
    <x v="2"/>
    <x v="0"/>
    <s v="Columbia Sportswear"/>
    <s v="2023-01-27 10:44:12 -0800 PST"/>
    <x v="3"/>
    <s v="David.Alexander@columbia.com"/>
    <s v="I provided guidance about using better technique."/>
    <m/>
    <x v="3"/>
    <x v="0"/>
    <x v="0"/>
    <x v="0"/>
    <x v="3"/>
  </r>
  <r>
    <n v="239778"/>
    <d v="2023-01-27T00:00:00"/>
    <s v="Rivergate"/>
    <s v="America/Los_Angeles"/>
    <x v="3"/>
    <x v="3"/>
    <x v="4"/>
    <s v="Columbia Sportswear"/>
    <s v="2023-01-27 11:01:59 -0800 PST"/>
    <x v="8"/>
    <s v="matthew.frank@columbia.com"/>
    <s v="I observed use of better technique."/>
    <m/>
    <x v="3"/>
    <x v="0"/>
    <x v="1"/>
    <x v="0"/>
    <x v="3"/>
  </r>
  <r>
    <n v="239779"/>
    <d v="2023-01-27T00:00:00"/>
    <s v="Rivergate"/>
    <s v="America/Los_Angeles"/>
    <x v="0"/>
    <x v="4"/>
    <x v="0"/>
    <s v="Columbia Sportswear"/>
    <s v="2023-01-27 11:27:17 -0800 PST"/>
    <x v="8"/>
    <s v="matthew.frank@columbia.com"/>
    <s v="I observed use of better technique."/>
    <m/>
    <x v="3"/>
    <x v="0"/>
    <x v="1"/>
    <x v="0"/>
    <x v="3"/>
  </r>
  <r>
    <n v="239780"/>
    <d v="2023-01-27T00:00:00"/>
    <s v="Rivergate"/>
    <s v="America/Los_Angeles"/>
    <x v="3"/>
    <x v="3"/>
    <x v="4"/>
    <s v="Columbia Sportswear"/>
    <s v="2023-01-27 12:21:56 -0800 PST"/>
    <x v="8"/>
    <s v="matthew.frank@columbia.com"/>
    <s v="I observed use of better technique."/>
    <m/>
    <x v="3"/>
    <x v="0"/>
    <x v="1"/>
    <x v="0"/>
    <x v="3"/>
  </r>
  <r>
    <n v="239821"/>
    <d v="2023-01-31T00:00:00"/>
    <s v="Rivergate"/>
    <s v="America/Los_Angeles"/>
    <x v="2"/>
    <x v="2"/>
    <x v="0"/>
    <s v="Columbia Sportswear"/>
    <s v="2023-01-31 12:29:31 -0800 PST"/>
    <x v="8"/>
    <s v="matthew.frank@columbia.com"/>
    <s v="I observed use of better technique."/>
    <m/>
    <x v="4"/>
    <x v="0"/>
    <x v="1"/>
    <x v="0"/>
    <x v="4"/>
  </r>
  <r>
    <n v="239822"/>
    <d v="2023-01-31T00:00:00"/>
    <s v="Rivergate"/>
    <s v="America/Los_Angeles"/>
    <x v="3"/>
    <x v="3"/>
    <x v="4"/>
    <s v="Columbia Sportswear"/>
    <s v="2023-01-31 12:29:45 -0800 PST"/>
    <x v="8"/>
    <s v="matthew.frank@columbia.com"/>
    <s v="I observed use of better technique."/>
    <m/>
    <x v="4"/>
    <x v="0"/>
    <x v="1"/>
    <x v="0"/>
    <x v="4"/>
  </r>
  <r>
    <n v="239850"/>
    <d v="2023-02-01T00:00:00"/>
    <s v="Rivergate"/>
    <s v="America/Los_Angeles"/>
    <x v="3"/>
    <x v="3"/>
    <x v="4"/>
    <s v="Columbia Sportswear"/>
    <s v="2023-02-01 07:45:49 -0800 PST"/>
    <x v="8"/>
    <s v="matthew.frank@columbia.com"/>
    <s v="I observed use of better technique."/>
    <m/>
    <x v="4"/>
    <x v="1"/>
    <x v="1"/>
    <x v="1"/>
    <x v="4"/>
  </r>
  <r>
    <n v="239885"/>
    <d v="2023-02-03T00:00:00"/>
    <s v="Rivergate"/>
    <s v="America/Los_Angeles"/>
    <x v="2"/>
    <x v="2"/>
    <x v="0"/>
    <s v="Columbia Sportswear"/>
    <s v="2023-02-02 21:09:15 -0800 PST"/>
    <x v="7"/>
    <s v="Nicholas.Kulak@columbia.com"/>
    <s v="I observed use of better technique."/>
    <m/>
    <x v="4"/>
    <x v="1"/>
    <x v="1"/>
    <x v="1"/>
    <x v="4"/>
  </r>
  <r>
    <n v="239886"/>
    <d v="2023-02-03T00:00:00"/>
    <s v="Rivergate"/>
    <s v="America/Los_Angeles"/>
    <x v="3"/>
    <x v="3"/>
    <x v="4"/>
    <s v="Columbia Sportswear"/>
    <s v="2023-02-02 21:14:25 -0800 PST"/>
    <x v="7"/>
    <s v="Nicholas.Kulak@columbia.com"/>
    <s v="I observed use of better technique."/>
    <m/>
    <x v="4"/>
    <x v="1"/>
    <x v="1"/>
    <x v="1"/>
    <x v="4"/>
  </r>
  <r>
    <n v="239887"/>
    <d v="2023-02-03T00:00:00"/>
    <s v="Rivergate"/>
    <s v="America/Los_Angeles"/>
    <x v="2"/>
    <x v="2"/>
    <x v="0"/>
    <s v="Columbia Sportswear"/>
    <s v="2023-02-02 21:14:47 -0800 PST"/>
    <x v="7"/>
    <s v="Nicholas.Kulak@columbia.com"/>
    <s v="I observed use of better technique."/>
    <m/>
    <x v="4"/>
    <x v="1"/>
    <x v="1"/>
    <x v="1"/>
    <x v="4"/>
  </r>
  <r>
    <n v="239888"/>
    <d v="2023-02-03T00:00:00"/>
    <s v="Rivergate"/>
    <s v="America/Los_Angeles"/>
    <x v="3"/>
    <x v="3"/>
    <x v="4"/>
    <s v="Columbia Sportswear"/>
    <s v="2023-02-02 22:45:18 -0800 PST"/>
    <x v="5"/>
    <s v="SPetersen@columbia.com"/>
    <s v="I observed use of better technique."/>
    <m/>
    <x v="4"/>
    <x v="1"/>
    <x v="1"/>
    <x v="1"/>
    <x v="4"/>
  </r>
  <r>
    <n v="239889"/>
    <d v="2023-02-03T00:00:00"/>
    <s v="Rivergate"/>
    <s v="America/Los_Angeles"/>
    <x v="2"/>
    <x v="2"/>
    <x v="0"/>
    <s v="Columbia Sportswear"/>
    <s v="2023-02-02 23:39:00 -0800 PST"/>
    <x v="5"/>
    <s v="SPetersen@columbia.com"/>
    <s v="I observed use of better technique."/>
    <m/>
    <x v="4"/>
    <x v="1"/>
    <x v="1"/>
    <x v="1"/>
    <x v="4"/>
  </r>
  <r>
    <n v="239900"/>
    <d v="2023-02-03T00:00:00"/>
    <s v="Rivergate"/>
    <s v="America/Los_Angeles"/>
    <x v="2"/>
    <x v="2"/>
    <x v="0"/>
    <s v="Columbia Sportswear"/>
    <s v="2023-02-03 12:22:56 -0800 PST"/>
    <x v="3"/>
    <s v="David.Alexander@columbia.com"/>
    <s v="I observed use of better technique."/>
    <m/>
    <x v="4"/>
    <x v="1"/>
    <x v="1"/>
    <x v="1"/>
    <x v="4"/>
  </r>
  <r>
    <n v="239901"/>
    <d v="2023-02-03T00:00:00"/>
    <s v="Rivergate"/>
    <s v="America/Los_Angeles"/>
    <x v="3"/>
    <x v="3"/>
    <x v="4"/>
    <s v="Columbia Sportswear"/>
    <s v="2023-02-03 12:23:10 -0800 PST"/>
    <x v="3"/>
    <s v="David.Alexander@columbia.com"/>
    <s v="I provided guidance about using better technique."/>
    <m/>
    <x v="4"/>
    <x v="1"/>
    <x v="0"/>
    <x v="1"/>
    <x v="4"/>
  </r>
  <r>
    <n v="239902"/>
    <d v="2023-02-03T00:00:00"/>
    <s v="Rivergate"/>
    <s v="America/Los_Angeles"/>
    <x v="0"/>
    <x v="4"/>
    <x v="0"/>
    <s v="Columbia Sportswear"/>
    <s v="2023-02-03 12:23:28 -0800 PST"/>
    <x v="3"/>
    <s v="David.Alexander@columbia.com"/>
    <s v="I provided guidance about using better technique."/>
    <m/>
    <x v="4"/>
    <x v="1"/>
    <x v="0"/>
    <x v="1"/>
    <x v="4"/>
  </r>
  <r>
    <n v="239930"/>
    <d v="2023-02-06T00:00:00"/>
    <s v="Rivergate"/>
    <s v="America/Los_Angeles"/>
    <x v="3"/>
    <x v="3"/>
    <x v="4"/>
    <s v="Columbia Sportswear"/>
    <s v="2023-02-06 12:32:14 -0800 PST"/>
    <x v="8"/>
    <s v="matthew.frank@columbia.com"/>
    <s v="I provided guidance about using better technique."/>
    <m/>
    <x v="5"/>
    <x v="1"/>
    <x v="0"/>
    <x v="1"/>
    <x v="5"/>
  </r>
  <r>
    <n v="239964"/>
    <d v="2023-02-08T00:00:00"/>
    <s v="Rivergate"/>
    <s v="America/Los_Angeles"/>
    <x v="3"/>
    <x v="3"/>
    <x v="4"/>
    <s v="Columbia Sportswear"/>
    <s v="2023-02-08 12:32:24 -0800 PST"/>
    <x v="8"/>
    <s v="matthew.frank@columbia.com"/>
    <s v="I observed use of better technique."/>
    <m/>
    <x v="5"/>
    <x v="1"/>
    <x v="1"/>
    <x v="1"/>
    <x v="5"/>
  </r>
  <r>
    <n v="239972"/>
    <d v="2023-02-09T00:00:00"/>
    <s v="Rivergate"/>
    <s v="America/Los_Angeles"/>
    <x v="0"/>
    <x v="4"/>
    <x v="0"/>
    <s v="Columbia Sportswear"/>
    <s v="2023-02-08 20:40:01 -0800 PST"/>
    <x v="7"/>
    <s v="Nicholas.Kulak@columbia.com"/>
    <s v="I observed use of better technique."/>
    <m/>
    <x v="5"/>
    <x v="1"/>
    <x v="1"/>
    <x v="1"/>
    <x v="5"/>
  </r>
  <r>
    <n v="239973"/>
    <d v="2023-02-09T00:00:00"/>
    <s v="Rivergate"/>
    <s v="America/Los_Angeles"/>
    <x v="2"/>
    <x v="2"/>
    <x v="0"/>
    <s v="Columbia Sportswear"/>
    <s v="2023-02-08 20:50:32 -0800 PST"/>
    <x v="7"/>
    <s v="Nicholas.Kulak@columbia.com"/>
    <s v="I observed use of better technique."/>
    <m/>
    <x v="5"/>
    <x v="1"/>
    <x v="1"/>
    <x v="1"/>
    <x v="5"/>
  </r>
  <r>
    <n v="239974"/>
    <d v="2023-02-09T00:00:00"/>
    <s v="Rivergate"/>
    <s v="America/Los_Angeles"/>
    <x v="3"/>
    <x v="3"/>
    <x v="4"/>
    <s v="Columbia Sportswear"/>
    <s v="2023-02-08 20:54:19 -0800 PST"/>
    <x v="7"/>
    <s v="Nicholas.Kulak@columbia.com"/>
    <s v="I observed use of better technique."/>
    <m/>
    <x v="5"/>
    <x v="1"/>
    <x v="1"/>
    <x v="1"/>
    <x v="5"/>
  </r>
  <r>
    <n v="239986"/>
    <d v="2023-02-09T00:00:00"/>
    <s v="Rivergate"/>
    <s v="America/Los_Angeles"/>
    <x v="3"/>
    <x v="3"/>
    <x v="4"/>
    <s v="Columbia Sportswear"/>
    <s v="2023-02-09 09:21:30 -0800 PST"/>
    <x v="2"/>
    <s v="SSomerville@columbia.com"/>
    <s v="I observed use of better technique."/>
    <m/>
    <x v="5"/>
    <x v="1"/>
    <x v="1"/>
    <x v="1"/>
    <x v="5"/>
  </r>
  <r>
    <n v="239988"/>
    <d v="2023-02-09T00:00:00"/>
    <s v="Rivergate"/>
    <s v="America/Los_Angeles"/>
    <x v="3"/>
    <x v="3"/>
    <x v="4"/>
    <s v="Columbia Sportswear"/>
    <s v="2023-02-09 12:40:15 -0800 PST"/>
    <x v="2"/>
    <s v="SSomerville@columbia.com"/>
    <s v="I observed use of better technique."/>
    <m/>
    <x v="5"/>
    <x v="1"/>
    <x v="1"/>
    <x v="1"/>
    <x v="5"/>
  </r>
  <r>
    <n v="239991"/>
    <d v="2023-02-10T00:00:00"/>
    <s v="Rivergate"/>
    <s v="America/Los_Angeles"/>
    <x v="3"/>
    <x v="3"/>
    <x v="4"/>
    <s v="Columbia Sportswear"/>
    <s v="2023-02-09 22:49:17 -0800 PST"/>
    <x v="1"/>
    <s v="JBizal@columbia.com"/>
    <s v="I observed use of better technique."/>
    <m/>
    <x v="5"/>
    <x v="1"/>
    <x v="1"/>
    <x v="1"/>
    <x v="5"/>
  </r>
  <r>
    <n v="239992"/>
    <d v="2023-02-10T00:00:00"/>
    <s v="Rivergate"/>
    <s v="America/Los_Angeles"/>
    <x v="3"/>
    <x v="3"/>
    <x v="4"/>
    <s v="Columbia Sportswear"/>
    <s v="2023-02-09 22:49:40 -0800 PST"/>
    <x v="1"/>
    <s v="JBizal@columbia.com"/>
    <s v="I observed use of better technique."/>
    <m/>
    <x v="5"/>
    <x v="1"/>
    <x v="1"/>
    <x v="1"/>
    <x v="5"/>
  </r>
  <r>
    <n v="239993"/>
    <d v="2023-02-10T00:00:00"/>
    <s v="Rivergate"/>
    <s v="America/Los_Angeles"/>
    <x v="3"/>
    <x v="3"/>
    <x v="4"/>
    <s v="Columbia Sportswear"/>
    <s v="2023-02-09 22:59:35 -0800 PST"/>
    <x v="1"/>
    <s v="JBizal@columbia.com"/>
    <s v="I observed use of better technique."/>
    <m/>
    <x v="5"/>
    <x v="1"/>
    <x v="1"/>
    <x v="1"/>
    <x v="5"/>
  </r>
  <r>
    <n v="239994"/>
    <d v="2023-02-10T00:00:00"/>
    <s v="Rivergate"/>
    <s v="America/Los_Angeles"/>
    <x v="2"/>
    <x v="2"/>
    <x v="0"/>
    <s v="Columbia Sportswear"/>
    <s v="2023-02-10 00:19:35 -0800 PST"/>
    <x v="5"/>
    <s v="SPetersen@columbia.com"/>
    <s v="I provided guidance about using better technique."/>
    <m/>
    <x v="5"/>
    <x v="1"/>
    <x v="0"/>
    <x v="1"/>
    <x v="5"/>
  </r>
  <r>
    <n v="239995"/>
    <d v="2023-02-10T00:00:00"/>
    <s v="Rivergate"/>
    <s v="America/Los_Angeles"/>
    <x v="0"/>
    <x v="4"/>
    <x v="0"/>
    <s v="Columbia Sportswear"/>
    <s v="2023-02-10 00:21:04 -0800 PST"/>
    <x v="5"/>
    <s v="SPetersen@columbia.com"/>
    <s v="I provided guidance about using better technique."/>
    <m/>
    <x v="5"/>
    <x v="1"/>
    <x v="0"/>
    <x v="1"/>
    <x v="5"/>
  </r>
  <r>
    <n v="239996"/>
    <d v="2023-02-10T00:00:00"/>
    <s v="Rivergate"/>
    <s v="America/Los_Angeles"/>
    <x v="2"/>
    <x v="2"/>
    <x v="0"/>
    <s v="Columbia Sportswear"/>
    <s v="2023-02-10 00:22:28 -0800 PST"/>
    <x v="5"/>
    <s v="SPetersen@columbia.com"/>
    <s v="I observed use of better technique."/>
    <m/>
    <x v="5"/>
    <x v="1"/>
    <x v="1"/>
    <x v="1"/>
    <x v="5"/>
  </r>
  <r>
    <n v="240005"/>
    <d v="2023-02-10T00:00:00"/>
    <s v="Rivergate"/>
    <s v="America/Los_Angeles"/>
    <x v="2"/>
    <x v="2"/>
    <x v="0"/>
    <s v="Columbia Sportswear"/>
    <s v="2023-02-10 07:38:55 -0800 PST"/>
    <x v="3"/>
    <s v="David.Alexander@columbia.com"/>
    <s v="I observed use of better technique."/>
    <m/>
    <x v="5"/>
    <x v="1"/>
    <x v="1"/>
    <x v="1"/>
    <x v="5"/>
  </r>
  <r>
    <n v="240006"/>
    <d v="2023-02-10T00:00:00"/>
    <s v="Rivergate"/>
    <s v="America/Los_Angeles"/>
    <x v="2"/>
    <x v="2"/>
    <x v="0"/>
    <s v="Columbia Sportswear"/>
    <s v="2023-02-10 07:39:03 -0800 PST"/>
    <x v="3"/>
    <s v="David.Alexander@columbia.com"/>
    <s v="I observed use of better technique."/>
    <m/>
    <x v="5"/>
    <x v="1"/>
    <x v="1"/>
    <x v="1"/>
    <x v="5"/>
  </r>
  <r>
    <n v="240007"/>
    <d v="2023-02-10T00:00:00"/>
    <s v="Rivergate"/>
    <s v="America/Los_Angeles"/>
    <x v="0"/>
    <x v="4"/>
    <x v="0"/>
    <s v="Columbia Sportswear"/>
    <s v="2023-02-10 07:39:17 -0800 PST"/>
    <x v="3"/>
    <s v="David.Alexander@columbia.com"/>
    <s v="I provided guidance about using better technique."/>
    <m/>
    <x v="5"/>
    <x v="1"/>
    <x v="0"/>
    <x v="1"/>
    <x v="5"/>
  </r>
  <r>
    <n v="240010"/>
    <d v="2023-02-10T00:00:00"/>
    <s v="Rivergate"/>
    <s v="America/Los_Angeles"/>
    <x v="3"/>
    <x v="3"/>
    <x v="4"/>
    <s v="Columbia Sportswear"/>
    <s v="2023-02-10 11:30:59 -0800 PST"/>
    <x v="8"/>
    <s v="matthew.frank@columbia.com"/>
    <s v="I observed use of better technique."/>
    <m/>
    <x v="5"/>
    <x v="1"/>
    <x v="1"/>
    <x v="1"/>
    <x v="5"/>
  </r>
  <r>
    <n v="240012"/>
    <d v="2023-02-10T00:00:00"/>
    <s v="Rivergate"/>
    <s v="America/Los_Angeles"/>
    <x v="3"/>
    <x v="3"/>
    <x v="4"/>
    <s v="Columbia Sportswear"/>
    <s v="2023-02-10 12:31:18 -0800 PST"/>
    <x v="2"/>
    <s v="SSomerville@columbia.com"/>
    <s v="I observed use of better technique."/>
    <m/>
    <x v="5"/>
    <x v="1"/>
    <x v="1"/>
    <x v="1"/>
    <x v="5"/>
  </r>
  <r>
    <n v="240045"/>
    <d v="2023-02-14T00:00:00"/>
    <s v="Rivergate"/>
    <s v="America/Los_Angeles"/>
    <x v="3"/>
    <x v="3"/>
    <x v="4"/>
    <s v="Columbia Sportswear"/>
    <s v="2023-02-14 14:20:17 -0800 PST"/>
    <x v="3"/>
    <s v="David.Alexander@columbia.com"/>
    <s v="I observed use of better technique."/>
    <m/>
    <x v="6"/>
    <x v="1"/>
    <x v="1"/>
    <x v="1"/>
    <x v="6"/>
  </r>
  <r>
    <n v="240046"/>
    <d v="2023-02-14T00:00:00"/>
    <s v="Rivergate"/>
    <s v="America/Los_Angeles"/>
    <x v="2"/>
    <x v="2"/>
    <x v="0"/>
    <s v="Columbia Sportswear"/>
    <s v="2023-02-14 14:20:48 -0800 PST"/>
    <x v="3"/>
    <s v="David.Alexander@columbia.com"/>
    <s v="I provided guidance about using better technique."/>
    <m/>
    <x v="6"/>
    <x v="1"/>
    <x v="0"/>
    <x v="1"/>
    <x v="6"/>
  </r>
  <r>
    <n v="240047"/>
    <d v="2023-02-14T00:00:00"/>
    <s v="Rivergate"/>
    <s v="America/Los_Angeles"/>
    <x v="0"/>
    <x v="4"/>
    <x v="0"/>
    <s v="Columbia Sportswear"/>
    <s v="2023-02-14 14:21:00 -0800 PST"/>
    <x v="3"/>
    <s v="David.Alexander@columbia.com"/>
    <s v="I observed use of better technique."/>
    <m/>
    <x v="6"/>
    <x v="1"/>
    <x v="1"/>
    <x v="1"/>
    <x v="6"/>
  </r>
  <r>
    <n v="240061"/>
    <d v="2023-02-16T00:00:00"/>
    <s v="Rivergate"/>
    <s v="America/Los_Angeles"/>
    <x v="0"/>
    <x v="4"/>
    <x v="0"/>
    <s v="Columbia Sportswear"/>
    <s v="2023-02-16 01:14:04 -0800 PST"/>
    <x v="9"/>
    <s v="Sahil.Patel@columbia.com"/>
    <s v="I observed use of better technique."/>
    <m/>
    <x v="6"/>
    <x v="1"/>
    <x v="1"/>
    <x v="1"/>
    <x v="6"/>
  </r>
  <r>
    <n v="240062"/>
    <d v="2023-02-16T00:00:00"/>
    <s v="Rivergate"/>
    <s v="America/Los_Angeles"/>
    <x v="3"/>
    <x v="3"/>
    <x v="4"/>
    <s v="Columbia Sportswear"/>
    <s v="2023-02-16 01:15:05 -0800 PST"/>
    <x v="9"/>
    <s v="Sahil.Patel@columbia.com"/>
    <s v="I observed use of better technique."/>
    <m/>
    <x v="6"/>
    <x v="1"/>
    <x v="1"/>
    <x v="1"/>
    <x v="6"/>
  </r>
  <r>
    <n v="240063"/>
    <d v="2023-02-16T00:00:00"/>
    <s v="Rivergate"/>
    <s v="America/Los_Angeles"/>
    <x v="2"/>
    <x v="2"/>
    <x v="0"/>
    <s v="Columbia Sportswear"/>
    <s v="2023-02-16 01:16:01 -0800 PST"/>
    <x v="9"/>
    <s v="Sahil.Patel@columbia.com"/>
    <s v="I observed use of better technique."/>
    <m/>
    <x v="6"/>
    <x v="1"/>
    <x v="1"/>
    <x v="1"/>
    <x v="6"/>
  </r>
  <r>
    <n v="240142"/>
    <d v="2023-02-22T00:00:00"/>
    <s v="Rivergate"/>
    <s v="America/Los_Angeles"/>
    <x v="3"/>
    <x v="3"/>
    <x v="4"/>
    <s v="Columbia Sportswear"/>
    <s v="2023-02-22 06:37:25 -0800 PST"/>
    <x v="8"/>
    <s v="matthew.frank@columbia.com"/>
    <s v="I provided guidance about using better technique."/>
    <m/>
    <x v="7"/>
    <x v="1"/>
    <x v="0"/>
    <x v="1"/>
    <x v="7"/>
  </r>
  <r>
    <n v="240155"/>
    <d v="2023-02-22T00:00:00"/>
    <s v="Rivergate"/>
    <s v="America/Los_Angeles"/>
    <x v="3"/>
    <x v="3"/>
    <x v="4"/>
    <s v="Columbia Sportswear"/>
    <s v="2023-02-22 12:00:06 -0800 PST"/>
    <x v="8"/>
    <s v="matthew.frank@columbia.com"/>
    <s v="I observed use of better technique."/>
    <m/>
    <x v="7"/>
    <x v="1"/>
    <x v="1"/>
    <x v="1"/>
    <x v="7"/>
  </r>
  <r>
    <n v="240156"/>
    <d v="2023-02-22T00:00:00"/>
    <s v="Rivergate"/>
    <s v="America/Los_Angeles"/>
    <x v="0"/>
    <x v="4"/>
    <x v="0"/>
    <s v="Columbia Sportswear"/>
    <s v="2023-02-22 12:00:21 -0800 PST"/>
    <x v="8"/>
    <s v="matthew.frank@columbia.com"/>
    <s v="I observed use of better technique."/>
    <m/>
    <x v="7"/>
    <x v="1"/>
    <x v="1"/>
    <x v="1"/>
    <x v="7"/>
  </r>
  <r>
    <n v="240204"/>
    <d v="2023-02-28T00:00:00"/>
    <s v="Rivergate"/>
    <s v="America/Los_Angeles"/>
    <x v="3"/>
    <x v="3"/>
    <x v="4"/>
    <s v="Columbia Sportswear"/>
    <s v="2023-02-27 23:32:23 -0800 PST"/>
    <x v="10"/>
    <s v="KeLarsen@columbia.com"/>
    <s v="I observed use of better technique."/>
    <m/>
    <x v="8"/>
    <x v="1"/>
    <x v="1"/>
    <x v="1"/>
    <x v="8"/>
  </r>
  <r>
    <n v="240205"/>
    <d v="2023-02-28T00:00:00"/>
    <s v="Rivergate"/>
    <s v="America/Los_Angeles"/>
    <x v="0"/>
    <x v="4"/>
    <x v="0"/>
    <s v="Columbia Sportswear"/>
    <s v="2023-02-27 23:37:16 -0800 PST"/>
    <x v="10"/>
    <s v="KeLarsen@columbia.com"/>
    <s v="I observed use of better technique."/>
    <m/>
    <x v="8"/>
    <x v="1"/>
    <x v="1"/>
    <x v="1"/>
    <x v="8"/>
  </r>
  <r>
    <n v="240206"/>
    <d v="2023-02-28T00:00:00"/>
    <s v="Rivergate"/>
    <s v="America/Los_Angeles"/>
    <x v="2"/>
    <x v="2"/>
    <x v="0"/>
    <s v="Columbia Sportswear"/>
    <s v="2023-02-27 23:55:15 -0800 PST"/>
    <x v="10"/>
    <s v="KeLarsen@columbia.com"/>
    <s v="I provided guidance about using better technique."/>
    <m/>
    <x v="8"/>
    <x v="1"/>
    <x v="0"/>
    <x v="1"/>
    <x v="8"/>
  </r>
  <r>
    <n v="240250"/>
    <d v="2023-03-02T00:00:00"/>
    <s v="Rivergate"/>
    <s v="America/Los_Angeles"/>
    <x v="0"/>
    <x v="4"/>
    <x v="0"/>
    <s v="Columbia Sportswear"/>
    <s v="2023-03-01 23:45:08 -0800 PST"/>
    <x v="7"/>
    <s v="Nicholas.Kulak@columbia.com"/>
    <s v="I observed use of better technique."/>
    <m/>
    <x v="8"/>
    <x v="2"/>
    <x v="1"/>
    <x v="2"/>
    <x v="8"/>
  </r>
  <r>
    <n v="240251"/>
    <d v="2023-03-02T00:00:00"/>
    <s v="Rivergate"/>
    <s v="America/Los_Angeles"/>
    <x v="3"/>
    <x v="3"/>
    <x v="4"/>
    <s v="Columbia Sportswear"/>
    <s v="2023-03-01 23:47:43 -0800 PST"/>
    <x v="7"/>
    <s v="Nicholas.Kulak@columbia.com"/>
    <s v="I observed use of better technique."/>
    <m/>
    <x v="8"/>
    <x v="2"/>
    <x v="1"/>
    <x v="2"/>
    <x v="8"/>
  </r>
  <r>
    <n v="240252"/>
    <d v="2023-03-02T00:00:00"/>
    <s v="Rivergate"/>
    <s v="America/Los_Angeles"/>
    <x v="2"/>
    <x v="2"/>
    <x v="0"/>
    <s v="Columbia Sportswear"/>
    <s v="2023-03-01 23:56:41 -0800 PST"/>
    <x v="7"/>
    <s v="Nicholas.Kulak@columbia.com"/>
    <s v="I observed use of better technique."/>
    <m/>
    <x v="8"/>
    <x v="2"/>
    <x v="1"/>
    <x v="2"/>
    <x v="8"/>
  </r>
  <r>
    <n v="240253"/>
    <d v="2023-03-02T00:00:00"/>
    <s v="Rivergate"/>
    <s v="America/Los_Angeles"/>
    <x v="2"/>
    <x v="2"/>
    <x v="0"/>
    <s v="Columbia Sportswear"/>
    <s v="2023-03-02 00:20:03 -0800 PST"/>
    <x v="7"/>
    <s v="Nicholas.Kulak@columbia.com"/>
    <s v="I provided guidance about using better technique."/>
    <m/>
    <x v="8"/>
    <x v="2"/>
    <x v="0"/>
    <x v="2"/>
    <x v="8"/>
  </r>
  <r>
    <n v="240278"/>
    <d v="2023-03-03T00:00:00"/>
    <s v="Rivergate"/>
    <s v="America/Los_Angeles"/>
    <x v="0"/>
    <x v="4"/>
    <x v="0"/>
    <s v="Columbia Sportswear"/>
    <s v="2023-03-03 11:53:40 -0800 PST"/>
    <x v="8"/>
    <s v="matthew.frank@columbia.com"/>
    <s v="I observed use of better technique."/>
    <m/>
    <x v="8"/>
    <x v="2"/>
    <x v="1"/>
    <x v="2"/>
    <x v="8"/>
  </r>
  <r>
    <n v="240279"/>
    <d v="2023-03-03T00:00:00"/>
    <s v="Rivergate"/>
    <s v="America/Los_Angeles"/>
    <x v="3"/>
    <x v="3"/>
    <x v="4"/>
    <s v="Columbia Sportswear"/>
    <s v="2023-03-03 11:53:49 -0800 PST"/>
    <x v="8"/>
    <s v="matthew.frank@columbia.com"/>
    <s v="I observed use of better technique."/>
    <m/>
    <x v="8"/>
    <x v="2"/>
    <x v="1"/>
    <x v="2"/>
    <x v="8"/>
  </r>
  <r>
    <n v="240280"/>
    <d v="2023-03-03T00:00:00"/>
    <s v="Rivergate"/>
    <s v="America/Los_Angeles"/>
    <x v="3"/>
    <x v="3"/>
    <x v="4"/>
    <s v="Columbia Sportswear"/>
    <s v="2023-03-03 11:54:12 -0800 PST"/>
    <x v="8"/>
    <s v="matthew.frank@columbia.com"/>
    <s v="I provided guidance about using better technique."/>
    <m/>
    <x v="8"/>
    <x v="2"/>
    <x v="0"/>
    <x v="2"/>
    <x v="8"/>
  </r>
  <r>
    <n v="240281"/>
    <d v="2023-03-03T00:00:00"/>
    <s v="Rivergate"/>
    <s v="America/Los_Angeles"/>
    <x v="2"/>
    <x v="2"/>
    <x v="0"/>
    <s v="Columbia Sportswear"/>
    <s v="2023-03-03 12:58:20 -0800 PST"/>
    <x v="3"/>
    <s v="David.Alexander@columbia.com"/>
    <s v="I observed use of better technique."/>
    <m/>
    <x v="8"/>
    <x v="2"/>
    <x v="1"/>
    <x v="2"/>
    <x v="8"/>
  </r>
  <r>
    <n v="240282"/>
    <d v="2023-03-03T00:00:00"/>
    <s v="Rivergate"/>
    <s v="America/Los_Angeles"/>
    <x v="3"/>
    <x v="3"/>
    <x v="4"/>
    <s v="Columbia Sportswear"/>
    <s v="2023-03-03 12:58:39 -0800 PST"/>
    <x v="3"/>
    <s v="David.Alexander@columbia.com"/>
    <s v="I observed use of better technique."/>
    <m/>
    <x v="8"/>
    <x v="2"/>
    <x v="1"/>
    <x v="2"/>
    <x v="8"/>
  </r>
  <r>
    <n v="240283"/>
    <d v="2023-03-03T00:00:00"/>
    <s v="Rivergate"/>
    <s v="America/Los_Angeles"/>
    <x v="3"/>
    <x v="3"/>
    <x v="4"/>
    <s v="Columbia Sportswear"/>
    <s v="2023-03-03 12:58:47 -0800 PST"/>
    <x v="3"/>
    <s v="David.Alexander@columbia.com"/>
    <s v="I observed use of better technique."/>
    <m/>
    <x v="8"/>
    <x v="2"/>
    <x v="1"/>
    <x v="2"/>
    <x v="8"/>
  </r>
  <r>
    <n v="240284"/>
    <d v="2023-03-03T00:00:00"/>
    <s v="Rivergate"/>
    <s v="America/Los_Angeles"/>
    <x v="3"/>
    <x v="3"/>
    <x v="4"/>
    <s v="Columbia Sportswear"/>
    <s v="2023-03-03 12:59:05 -0800 PST"/>
    <x v="2"/>
    <s v="SSomerville@columbia.com"/>
    <s v="I observed use of better technique."/>
    <m/>
    <x v="8"/>
    <x v="2"/>
    <x v="1"/>
    <x v="2"/>
    <x v="8"/>
  </r>
  <r>
    <n v="240285"/>
    <d v="2023-03-03T00:00:00"/>
    <s v="Rivergate"/>
    <s v="America/Los_Angeles"/>
    <x v="0"/>
    <x v="4"/>
    <x v="0"/>
    <s v="Columbia Sportswear"/>
    <s v="2023-03-03 13:00:23 -0800 PST"/>
    <x v="2"/>
    <s v="SSomerville@columbia.com"/>
    <s v="I observed use of better technique."/>
    <m/>
    <x v="8"/>
    <x v="2"/>
    <x v="1"/>
    <x v="2"/>
    <x v="8"/>
  </r>
  <r>
    <n v="240286"/>
    <d v="2023-03-03T00:00:00"/>
    <s v="Rivergate"/>
    <s v="America/Los_Angeles"/>
    <x v="3"/>
    <x v="3"/>
    <x v="4"/>
    <s v="Columbia Sportswear"/>
    <s v="2023-03-03 13:01:16 -0800 PST"/>
    <x v="2"/>
    <s v="SSomerville@columbia.com"/>
    <s v="I observed use of better technique."/>
    <m/>
    <x v="8"/>
    <x v="2"/>
    <x v="1"/>
    <x v="2"/>
    <x v="8"/>
  </r>
  <r>
    <n v="240287"/>
    <d v="2023-03-03T00:00:00"/>
    <s v="Rivergate"/>
    <s v="America/Los_Angeles"/>
    <x v="3"/>
    <x v="3"/>
    <x v="4"/>
    <s v="Columbia Sportswear"/>
    <s v="2023-03-03 15:23:52 -0800 PST"/>
    <x v="1"/>
    <s v="JBizal@columbia.com"/>
    <s v="I observed use of better technique."/>
    <m/>
    <x v="8"/>
    <x v="2"/>
    <x v="1"/>
    <x v="2"/>
    <x v="8"/>
  </r>
  <r>
    <n v="240288"/>
    <d v="2023-03-04T00:00:00"/>
    <s v="Rivergate"/>
    <s v="America/Los_Angeles"/>
    <x v="3"/>
    <x v="3"/>
    <x v="4"/>
    <s v="Columbia Sportswear"/>
    <s v="2023-03-03 18:13:19 -0800 PST"/>
    <x v="1"/>
    <s v="JBizal@columbia.com"/>
    <s v="I observed use of better technique."/>
    <m/>
    <x v="8"/>
    <x v="2"/>
    <x v="1"/>
    <x v="2"/>
    <x v="8"/>
  </r>
  <r>
    <n v="240289"/>
    <d v="2023-03-04T00:00:00"/>
    <s v="Rivergate"/>
    <s v="America/Los_Angeles"/>
    <x v="3"/>
    <x v="3"/>
    <x v="4"/>
    <s v="Columbia Sportswear"/>
    <s v="2023-03-03 19:14:26 -0800 PST"/>
    <x v="1"/>
    <s v="JBizal@columbia.com"/>
    <s v="I observed use of better technique."/>
    <m/>
    <x v="8"/>
    <x v="2"/>
    <x v="1"/>
    <x v="2"/>
    <x v="8"/>
  </r>
  <r>
    <n v="240290"/>
    <d v="2023-03-04T00:00:00"/>
    <s v="Rivergate"/>
    <s v="America/Los_Angeles"/>
    <x v="3"/>
    <x v="3"/>
    <x v="4"/>
    <s v="Columbia Sportswear"/>
    <s v="2023-03-03 20:00:32 -0800 PST"/>
    <x v="5"/>
    <s v="SPetersen@columbia.com"/>
    <s v="I observed use of better technique."/>
    <m/>
    <x v="8"/>
    <x v="2"/>
    <x v="1"/>
    <x v="2"/>
    <x v="8"/>
  </r>
  <r>
    <n v="240291"/>
    <d v="2023-03-04T00:00:00"/>
    <s v="Rivergate"/>
    <s v="America/Los_Angeles"/>
    <x v="0"/>
    <x v="4"/>
    <x v="0"/>
    <s v="Columbia Sportswear"/>
    <s v="2023-03-03 20:02:47 -0800 PST"/>
    <x v="5"/>
    <s v="SPetersen@columbia.com"/>
    <s v="I observed use of better technique."/>
    <m/>
    <x v="8"/>
    <x v="2"/>
    <x v="1"/>
    <x v="2"/>
    <x v="8"/>
  </r>
  <r>
    <n v="240292"/>
    <d v="2023-03-04T00:00:00"/>
    <s v="Rivergate"/>
    <s v="America/Los_Angeles"/>
    <x v="2"/>
    <x v="2"/>
    <x v="0"/>
    <s v="Columbia Sportswear"/>
    <s v="2023-03-03 20:03:56 -0800 PST"/>
    <x v="5"/>
    <s v="SPetersen@columbia.com"/>
    <s v="I observed use of better technique."/>
    <m/>
    <x v="8"/>
    <x v="2"/>
    <x v="1"/>
    <x v="2"/>
    <x v="8"/>
  </r>
  <r>
    <n v="240341"/>
    <d v="2023-03-09T00:00:00"/>
    <s v="Rivergate"/>
    <s v="America/Los_Angeles"/>
    <x v="3"/>
    <x v="3"/>
    <x v="4"/>
    <s v="Columbia Sportswear"/>
    <s v="2023-03-09 13:23:39 -0800 PST"/>
    <x v="8"/>
    <s v="matthew.frank@columbia.com"/>
    <s v="I observed use of better technique."/>
    <m/>
    <x v="9"/>
    <x v="2"/>
    <x v="1"/>
    <x v="2"/>
    <x v="9"/>
  </r>
  <r>
    <n v="240342"/>
    <d v="2023-03-09T00:00:00"/>
    <s v="Rivergate"/>
    <s v="America/Los_Angeles"/>
    <x v="3"/>
    <x v="3"/>
    <x v="4"/>
    <s v="Columbia Sportswear"/>
    <s v="2023-03-09 13:23:53 -0800 PST"/>
    <x v="8"/>
    <s v="matthew.frank@columbia.com"/>
    <s v="I observed use of better technique."/>
    <m/>
    <x v="9"/>
    <x v="2"/>
    <x v="1"/>
    <x v="2"/>
    <x v="9"/>
  </r>
  <r>
    <n v="240343"/>
    <d v="2023-03-09T00:00:00"/>
    <s v="Rivergate"/>
    <s v="America/Los_Angeles"/>
    <x v="0"/>
    <x v="4"/>
    <x v="0"/>
    <s v="Columbia Sportswear"/>
    <s v="2023-03-09 13:24:05 -0800 PST"/>
    <x v="8"/>
    <s v="matthew.frank@columbia.com"/>
    <s v="I observed use of better technique."/>
    <m/>
    <x v="9"/>
    <x v="2"/>
    <x v="1"/>
    <x v="2"/>
    <x v="9"/>
  </r>
  <r>
    <n v="240344"/>
    <d v="2023-03-10T00:00:00"/>
    <s v="Rivergate"/>
    <s v="America/Los_Angeles"/>
    <x v="3"/>
    <x v="3"/>
    <x v="4"/>
    <s v="Columbia Sportswear"/>
    <s v="2023-03-09 21:00:38 -0800 PST"/>
    <x v="1"/>
    <s v="JBizal@columbia.com"/>
    <s v="I observed use of better technique."/>
    <m/>
    <x v="9"/>
    <x v="2"/>
    <x v="1"/>
    <x v="2"/>
    <x v="9"/>
  </r>
  <r>
    <n v="240345"/>
    <d v="2023-03-10T00:00:00"/>
    <s v="Rivergate"/>
    <s v="America/Los_Angeles"/>
    <x v="3"/>
    <x v="3"/>
    <x v="4"/>
    <s v="Columbia Sportswear"/>
    <s v="2023-03-09 21:00:56 -0800 PST"/>
    <x v="1"/>
    <s v="JBizal@columbia.com"/>
    <s v="I observed use of better technique."/>
    <m/>
    <x v="9"/>
    <x v="2"/>
    <x v="1"/>
    <x v="2"/>
    <x v="9"/>
  </r>
  <r>
    <n v="240358"/>
    <d v="2023-03-10T00:00:00"/>
    <s v="Rivergate"/>
    <s v="America/Los_Angeles"/>
    <x v="3"/>
    <x v="3"/>
    <x v="4"/>
    <s v="Columbia Sportswear"/>
    <s v="2023-03-10 08:12:11 -0800 PST"/>
    <x v="3"/>
    <s v="David.Alexander@columbia.com"/>
    <s v="I observed use of better technique."/>
    <m/>
    <x v="9"/>
    <x v="2"/>
    <x v="1"/>
    <x v="2"/>
    <x v="9"/>
  </r>
  <r>
    <n v="240359"/>
    <d v="2023-03-10T00:00:00"/>
    <s v="Rivergate"/>
    <s v="America/Los_Angeles"/>
    <x v="2"/>
    <x v="2"/>
    <x v="0"/>
    <s v="Columbia Sportswear"/>
    <s v="2023-03-10 08:12:26 -0800 PST"/>
    <x v="3"/>
    <s v="David.Alexander@columbia.com"/>
    <s v="I provided guidance about using better technique."/>
    <m/>
    <x v="9"/>
    <x v="2"/>
    <x v="0"/>
    <x v="2"/>
    <x v="9"/>
  </r>
  <r>
    <n v="240360"/>
    <d v="2023-03-10T00:00:00"/>
    <s v="Rivergate"/>
    <s v="America/Los_Angeles"/>
    <x v="3"/>
    <x v="3"/>
    <x v="4"/>
    <s v="Columbia Sportswear"/>
    <s v="2023-03-10 08:12:44 -0800 PST"/>
    <x v="3"/>
    <s v="David.Alexander@columbia.com"/>
    <s v="I observed use of better technique."/>
    <m/>
    <x v="9"/>
    <x v="2"/>
    <x v="1"/>
    <x v="2"/>
    <x v="9"/>
  </r>
  <r>
    <n v="240361"/>
    <d v="2023-03-10T00:00:00"/>
    <s v="Rivergate"/>
    <s v="America/Los_Angeles"/>
    <x v="3"/>
    <x v="3"/>
    <x v="4"/>
    <s v="Columbia Sportswear"/>
    <s v="2023-03-10 12:18:16 -0800 PST"/>
    <x v="2"/>
    <s v="SSomerville@columbia.com"/>
    <s v="I observed use of better technique."/>
    <m/>
    <x v="9"/>
    <x v="2"/>
    <x v="1"/>
    <x v="2"/>
    <x v="9"/>
  </r>
  <r>
    <n v="240362"/>
    <d v="2023-03-10T00:00:00"/>
    <s v="Rivergate"/>
    <s v="America/Los_Angeles"/>
    <x v="3"/>
    <x v="3"/>
    <x v="4"/>
    <s v="Columbia Sportswear"/>
    <s v="2023-03-10 12:19:14 -0800 PST"/>
    <x v="2"/>
    <s v="SSomerville@columbia.com"/>
    <s v="I observed use of better technique."/>
    <m/>
    <x v="9"/>
    <x v="2"/>
    <x v="1"/>
    <x v="2"/>
    <x v="9"/>
  </r>
  <r>
    <n v="240363"/>
    <d v="2023-03-10T00:00:00"/>
    <s v="Rivergate"/>
    <s v="America/Los_Angeles"/>
    <x v="3"/>
    <x v="3"/>
    <x v="4"/>
    <s v="Columbia Sportswear"/>
    <s v="2023-03-10 12:20:18 -0800 PST"/>
    <x v="2"/>
    <s v="SSomerville@columbia.com"/>
    <s v="I observed use of better technique."/>
    <m/>
    <x v="9"/>
    <x v="2"/>
    <x v="1"/>
    <x v="2"/>
    <x v="9"/>
  </r>
  <r>
    <n v="240395"/>
    <d v="2023-03-16T00:00:00"/>
    <s v="Rivergate"/>
    <s v="America/Los_Angeles"/>
    <x v="4"/>
    <x v="5"/>
    <x v="5"/>
    <s v="Columbia Sportswear"/>
    <s v="2023-03-15 19:38:37 -0700 PDT"/>
    <x v="10"/>
    <s v="KeLarsen@columbia.com"/>
    <s v="I provided guidance about using better technique."/>
    <m/>
    <x v="10"/>
    <x v="2"/>
    <x v="0"/>
    <x v="2"/>
    <x v="10"/>
  </r>
  <r>
    <n v="240396"/>
    <d v="2023-03-16T00:00:00"/>
    <s v="Rivergate"/>
    <s v="America/Los_Angeles"/>
    <x v="3"/>
    <x v="6"/>
    <x v="6"/>
    <s v="Columbia Sportswear"/>
    <s v="2023-03-15 20:43:14 -0700 PDT"/>
    <x v="10"/>
    <s v="KeLarsen@columbia.com"/>
    <s v="I provided guidance about using better technique."/>
    <m/>
    <x v="10"/>
    <x v="2"/>
    <x v="0"/>
    <x v="2"/>
    <x v="10"/>
  </r>
  <r>
    <n v="240397"/>
    <d v="2023-03-16T00:00:00"/>
    <s v="Rivergate"/>
    <s v="America/Los_Angeles"/>
    <x v="3"/>
    <x v="6"/>
    <x v="6"/>
    <s v="Columbia Sportswear"/>
    <s v="2023-03-15 20:46:36 -0700 PDT"/>
    <x v="10"/>
    <s v="KeLarsen@columbia.com"/>
    <s v="I provided guidance about using better technique."/>
    <m/>
    <x v="10"/>
    <x v="2"/>
    <x v="0"/>
    <x v="2"/>
    <x v="10"/>
  </r>
  <r>
    <n v="240406"/>
    <d v="2023-03-17T00:00:00"/>
    <s v="Rivergate"/>
    <s v="America/Los_Angeles"/>
    <x v="3"/>
    <x v="6"/>
    <x v="6"/>
    <s v="Columbia Sportswear"/>
    <s v="2023-03-16 18:11:58 -0700 PDT"/>
    <x v="7"/>
    <s v="Nicholas.Kulak@columbia.com"/>
    <s v="I observed use of better technique."/>
    <m/>
    <x v="10"/>
    <x v="2"/>
    <x v="1"/>
    <x v="2"/>
    <x v="10"/>
  </r>
  <r>
    <n v="240407"/>
    <d v="2023-03-17T00:00:00"/>
    <s v="Rivergate"/>
    <s v="America/Los_Angeles"/>
    <x v="4"/>
    <x v="5"/>
    <x v="5"/>
    <s v="Columbia Sportswear"/>
    <s v="2023-03-16 18:12:45 -0700 PDT"/>
    <x v="7"/>
    <s v="Nicholas.Kulak@columbia.com"/>
    <s v="I provided guidance about using better technique."/>
    <m/>
    <x v="10"/>
    <x v="2"/>
    <x v="0"/>
    <x v="2"/>
    <x v="10"/>
  </r>
  <r>
    <n v="240408"/>
    <d v="2023-03-17T00:00:00"/>
    <s v="Rivergate"/>
    <s v="America/Los_Angeles"/>
    <x v="2"/>
    <x v="6"/>
    <x v="7"/>
    <s v="Columbia Sportswear"/>
    <s v="2023-03-16 18:13:17 -0700 PDT"/>
    <x v="7"/>
    <s v="Nicholas.Kulak@columbia.com"/>
    <s v="I provided guidance about using better technique."/>
    <m/>
    <x v="10"/>
    <x v="2"/>
    <x v="0"/>
    <x v="2"/>
    <x v="10"/>
  </r>
  <r>
    <n v="240409"/>
    <d v="2023-03-17T00:00:00"/>
    <s v="Rivergate"/>
    <s v="America/Los_Angeles"/>
    <x v="3"/>
    <x v="6"/>
    <x v="6"/>
    <s v="Columbia Sportswear"/>
    <s v="2023-03-16 22:47:30 -0700 PDT"/>
    <x v="1"/>
    <s v="JBizal@columbia.com"/>
    <s v="I observed use of better technique."/>
    <m/>
    <x v="10"/>
    <x v="2"/>
    <x v="1"/>
    <x v="2"/>
    <x v="10"/>
  </r>
  <r>
    <n v="240410"/>
    <d v="2023-03-17T00:00:00"/>
    <s v="Rivergate"/>
    <s v="America/Los_Angeles"/>
    <x v="4"/>
    <x v="5"/>
    <x v="5"/>
    <s v="Columbia Sportswear"/>
    <s v="2023-03-16 22:51:22 -0700 PDT"/>
    <x v="1"/>
    <s v="JBizal@columbia.com"/>
    <s v="I observed use of better technique."/>
    <m/>
    <x v="10"/>
    <x v="2"/>
    <x v="1"/>
    <x v="2"/>
    <x v="10"/>
  </r>
  <r>
    <n v="240411"/>
    <d v="2023-03-17T00:00:00"/>
    <s v="Rivergate"/>
    <s v="America/Los_Angeles"/>
    <x v="3"/>
    <x v="6"/>
    <x v="6"/>
    <s v="Columbia Sportswear"/>
    <s v="2023-03-16 23:12:04 -0700 PDT"/>
    <x v="1"/>
    <s v="JBizal@columbia.com"/>
    <s v="I observed use of better technique."/>
    <m/>
    <x v="10"/>
    <x v="2"/>
    <x v="1"/>
    <x v="2"/>
    <x v="10"/>
  </r>
  <r>
    <n v="240417"/>
    <d v="2023-03-17T00:00:00"/>
    <s v="Rivergate"/>
    <s v="America/Los_Angeles"/>
    <x v="3"/>
    <x v="6"/>
    <x v="6"/>
    <s v="Columbia Sportswear"/>
    <s v="2023-03-17 08:19:50 -0700 PDT"/>
    <x v="2"/>
    <s v="SSomerville@columbia.com"/>
    <s v="I observed use of better technique."/>
    <m/>
    <x v="10"/>
    <x v="2"/>
    <x v="1"/>
    <x v="2"/>
    <x v="10"/>
  </r>
  <r>
    <n v="240418"/>
    <d v="2023-03-17T00:00:00"/>
    <s v="Rivergate"/>
    <s v="America/Los_Angeles"/>
    <x v="2"/>
    <x v="6"/>
    <x v="7"/>
    <s v="Columbia Sportswear"/>
    <s v="2023-03-17 08:21:11 -0700 PDT"/>
    <x v="2"/>
    <s v="SSomerville@columbia.com"/>
    <s v="I observed use of better technique."/>
    <m/>
    <x v="10"/>
    <x v="2"/>
    <x v="1"/>
    <x v="2"/>
    <x v="10"/>
  </r>
  <r>
    <n v="240419"/>
    <d v="2023-03-17T00:00:00"/>
    <s v="Rivergate"/>
    <s v="America/Los_Angeles"/>
    <x v="2"/>
    <x v="6"/>
    <x v="7"/>
    <s v="Columbia Sportswear"/>
    <s v="2023-03-17 09:29:38 -0700 PDT"/>
    <x v="2"/>
    <s v="SSomerville@columbia.com"/>
    <s v="I observed use of better technique."/>
    <m/>
    <x v="10"/>
    <x v="2"/>
    <x v="1"/>
    <x v="2"/>
    <x v="10"/>
  </r>
  <r>
    <n v="240423"/>
    <d v="2023-03-17T00:00:00"/>
    <s v="Rivergate"/>
    <s v="America/Los_Angeles"/>
    <x v="4"/>
    <x v="5"/>
    <x v="5"/>
    <s v="Columbia Sportswear"/>
    <s v="2023-03-17 13:07:57 -0700 PDT"/>
    <x v="8"/>
    <s v="matthew.frank@columbia.com"/>
    <s v="I observed use of better technique."/>
    <m/>
    <x v="10"/>
    <x v="2"/>
    <x v="1"/>
    <x v="2"/>
    <x v="10"/>
  </r>
  <r>
    <n v="240424"/>
    <d v="2023-03-17T00:00:00"/>
    <s v="Rivergate"/>
    <s v="America/Los_Angeles"/>
    <x v="3"/>
    <x v="6"/>
    <x v="6"/>
    <s v="Columbia Sportswear"/>
    <s v="2023-03-17 13:08:13 -0700 PDT"/>
    <x v="8"/>
    <s v="matthew.frank@columbia.com"/>
    <s v="I observed use of better technique."/>
    <m/>
    <x v="10"/>
    <x v="2"/>
    <x v="1"/>
    <x v="2"/>
    <x v="10"/>
  </r>
  <r>
    <n v="240425"/>
    <d v="2023-03-17T00:00:00"/>
    <s v="Rivergate"/>
    <s v="America/Los_Angeles"/>
    <x v="2"/>
    <x v="6"/>
    <x v="7"/>
    <s v="Columbia Sportswear"/>
    <s v="2023-03-17 13:08:23 -0700 PDT"/>
    <x v="8"/>
    <s v="matthew.frank@columbia.com"/>
    <s v="I observed use of better technique."/>
    <m/>
    <x v="10"/>
    <x v="2"/>
    <x v="1"/>
    <x v="2"/>
    <x v="10"/>
  </r>
  <r>
    <n v="240426"/>
    <d v="2023-03-18T00:00:00"/>
    <s v="Rivergate"/>
    <s v="America/Los_Angeles"/>
    <x v="4"/>
    <x v="5"/>
    <x v="5"/>
    <s v="Columbia Sportswear"/>
    <s v="2023-03-17 17:52:44 -0700 PDT"/>
    <x v="3"/>
    <s v="David.Alexander@columbia.com"/>
    <s v="I observed use of better technique."/>
    <m/>
    <x v="10"/>
    <x v="2"/>
    <x v="1"/>
    <x v="2"/>
    <x v="10"/>
  </r>
  <r>
    <n v="240427"/>
    <d v="2023-03-18T00:00:00"/>
    <s v="Rivergate"/>
    <s v="America/Los_Angeles"/>
    <x v="4"/>
    <x v="5"/>
    <x v="5"/>
    <s v="Columbia Sportswear"/>
    <s v="2023-03-17 17:53:39 -0700 PDT"/>
    <x v="3"/>
    <s v="David.Alexander@columbia.com"/>
    <s v="I observed use of better technique."/>
    <m/>
    <x v="10"/>
    <x v="2"/>
    <x v="1"/>
    <x v="2"/>
    <x v="10"/>
  </r>
  <r>
    <n v="240428"/>
    <d v="2023-03-18T00:00:00"/>
    <s v="Rivergate"/>
    <s v="America/Los_Angeles"/>
    <x v="4"/>
    <x v="5"/>
    <x v="5"/>
    <s v="Columbia Sportswear"/>
    <s v="2023-03-17 17:54:46 -0700 PDT"/>
    <x v="3"/>
    <s v="David.Alexander@columbia.com"/>
    <s v="I observed use of better technique."/>
    <m/>
    <x v="10"/>
    <x v="2"/>
    <x v="1"/>
    <x v="2"/>
    <x v="10"/>
  </r>
  <r>
    <n v="240429"/>
    <d v="2023-03-18T00:00:00"/>
    <s v="Rivergate"/>
    <s v="America/Los_Angeles"/>
    <x v="3"/>
    <x v="6"/>
    <x v="6"/>
    <s v="Columbia Sportswear"/>
    <s v="2023-03-17 17:55:48 -0700 PDT"/>
    <x v="3"/>
    <s v="David.Alexander@columbia.com"/>
    <s v="I observed use of better technique."/>
    <m/>
    <x v="10"/>
    <x v="2"/>
    <x v="1"/>
    <x v="2"/>
    <x v="10"/>
  </r>
  <r>
    <n v="240435"/>
    <d v="2023-03-20T00:00:00"/>
    <s v="Rivergate"/>
    <s v="America/Los_Angeles"/>
    <x v="4"/>
    <x v="5"/>
    <x v="5"/>
    <s v="Columbia Sportswear"/>
    <s v="2023-03-20 11:13:59 -0700 PDT"/>
    <x v="8"/>
    <s v="matthew.frank@columbia.com"/>
    <s v="I observed use of better technique."/>
    <m/>
    <x v="11"/>
    <x v="2"/>
    <x v="1"/>
    <x v="2"/>
    <x v="11"/>
  </r>
  <r>
    <n v="240472"/>
    <d v="2023-03-24T00:00:00"/>
    <s v="Rivergate"/>
    <s v="America/Los_Angeles"/>
    <x v="3"/>
    <x v="6"/>
    <x v="6"/>
    <s v="Columbia Sportswear"/>
    <s v="2023-03-23 23:55:23 -0700 PDT"/>
    <x v="1"/>
    <s v="JBizal@columbia.com"/>
    <s v="I observed use of better technique."/>
    <m/>
    <x v="11"/>
    <x v="2"/>
    <x v="1"/>
    <x v="2"/>
    <x v="11"/>
  </r>
  <r>
    <n v="240473"/>
    <d v="2023-03-24T00:00:00"/>
    <s v="Rivergate"/>
    <s v="America/Los_Angeles"/>
    <x v="4"/>
    <x v="5"/>
    <x v="5"/>
    <s v="Columbia Sportswear"/>
    <s v="2023-03-23 23:55:51 -0700 PDT"/>
    <x v="1"/>
    <s v="JBizal@columbia.com"/>
    <s v="I observed use of better technique."/>
    <m/>
    <x v="11"/>
    <x v="2"/>
    <x v="1"/>
    <x v="2"/>
    <x v="11"/>
  </r>
  <r>
    <n v="240474"/>
    <d v="2023-03-24T00:00:00"/>
    <s v="Rivergate"/>
    <s v="America/Los_Angeles"/>
    <x v="3"/>
    <x v="6"/>
    <x v="6"/>
    <s v="Columbia Sportswear"/>
    <s v="2023-03-24 00:13:51 -0700 PDT"/>
    <x v="1"/>
    <s v="JBizal@columbia.com"/>
    <s v="I observed use of better technique."/>
    <m/>
    <x v="11"/>
    <x v="2"/>
    <x v="1"/>
    <x v="2"/>
    <x v="11"/>
  </r>
  <r>
    <n v="240479"/>
    <d v="2023-03-24T00:00:00"/>
    <s v="Rivergate"/>
    <s v="America/Los_Angeles"/>
    <x v="2"/>
    <x v="6"/>
    <x v="7"/>
    <s v="Columbia Sportswear"/>
    <s v="2023-03-24 06:37:16 -0700 PDT"/>
    <x v="3"/>
    <s v="David.Alexander@columbia.com"/>
    <s v="I provided guidance about using better technique."/>
    <m/>
    <x v="11"/>
    <x v="2"/>
    <x v="0"/>
    <x v="2"/>
    <x v="11"/>
  </r>
  <r>
    <n v="240480"/>
    <d v="2023-03-24T00:00:00"/>
    <s v="Rivergate"/>
    <s v="America/Los_Angeles"/>
    <x v="4"/>
    <x v="5"/>
    <x v="5"/>
    <s v="Columbia Sportswear"/>
    <s v="2023-03-24 06:37:25 -0700 PDT"/>
    <x v="3"/>
    <s v="David.Alexander@columbia.com"/>
    <s v="I observed use of better technique."/>
    <m/>
    <x v="11"/>
    <x v="2"/>
    <x v="1"/>
    <x v="2"/>
    <x v="11"/>
  </r>
  <r>
    <n v="240481"/>
    <d v="2023-03-24T00:00:00"/>
    <s v="Rivergate"/>
    <s v="America/Los_Angeles"/>
    <x v="4"/>
    <x v="5"/>
    <x v="5"/>
    <s v="Columbia Sportswear"/>
    <s v="2023-03-24 06:37:35 -0700 PDT"/>
    <x v="3"/>
    <s v="David.Alexander@columbia.com"/>
    <s v="I provided guidance about using better technique."/>
    <m/>
    <x v="11"/>
    <x v="2"/>
    <x v="0"/>
    <x v="2"/>
    <x v="11"/>
  </r>
  <r>
    <n v="240482"/>
    <d v="2023-03-24T00:00:00"/>
    <s v="Rivergate"/>
    <s v="America/Los_Angeles"/>
    <x v="2"/>
    <x v="6"/>
    <x v="7"/>
    <s v="Columbia Sportswear"/>
    <s v="2023-03-24 09:19:03 -0700 PDT"/>
    <x v="2"/>
    <s v="SSomerville@columbia.com"/>
    <s v="I observed use of better technique."/>
    <m/>
    <x v="11"/>
    <x v="2"/>
    <x v="1"/>
    <x v="2"/>
    <x v="11"/>
  </r>
  <r>
    <n v="240483"/>
    <d v="2023-03-24T00:00:00"/>
    <s v="Rivergate"/>
    <s v="America/Los_Angeles"/>
    <x v="2"/>
    <x v="6"/>
    <x v="7"/>
    <s v="Columbia Sportswear"/>
    <s v="2023-03-24 09:20:21 -0700 PDT"/>
    <x v="2"/>
    <s v="SSomerville@columbia.com"/>
    <s v="I observed use of better technique."/>
    <m/>
    <x v="11"/>
    <x v="2"/>
    <x v="1"/>
    <x v="2"/>
    <x v="11"/>
  </r>
  <r>
    <n v="240484"/>
    <d v="2023-03-24T00:00:00"/>
    <s v="Rivergate"/>
    <s v="America/Los_Angeles"/>
    <x v="2"/>
    <x v="6"/>
    <x v="7"/>
    <s v="Columbia Sportswear"/>
    <s v="2023-03-24 09:21:06 -0700 PDT"/>
    <x v="2"/>
    <s v="SSomerville@columbia.com"/>
    <s v="I observed use of better technique."/>
    <m/>
    <x v="11"/>
    <x v="2"/>
    <x v="1"/>
    <x v="2"/>
    <x v="11"/>
  </r>
  <r>
    <n v="240485"/>
    <d v="2023-03-24T00:00:00"/>
    <s v="Rivergate"/>
    <s v="America/Los_Angeles"/>
    <x v="3"/>
    <x v="6"/>
    <x v="6"/>
    <s v="Columbia Sportswear"/>
    <s v="2023-03-24 09:23:06 -0700 PDT"/>
    <x v="2"/>
    <s v="SSomerville@columbia.com"/>
    <s v="I observed use of better technique."/>
    <m/>
    <x v="11"/>
    <x v="2"/>
    <x v="1"/>
    <x v="2"/>
    <x v="11"/>
  </r>
  <r>
    <n v="240500"/>
    <d v="2023-03-28T00:00:00"/>
    <s v="Rivergate"/>
    <s v="America/Los_Angeles"/>
    <x v="3"/>
    <x v="6"/>
    <x v="6"/>
    <s v="Columbia Sportswear"/>
    <s v="2023-03-28 01:04:57 -0700 PDT"/>
    <x v="10"/>
    <s v="KeLarsen@columbia.com"/>
    <s v="I observed use of better technique."/>
    <m/>
    <x v="12"/>
    <x v="2"/>
    <x v="1"/>
    <x v="2"/>
    <x v="12"/>
  </r>
  <r>
    <n v="240520"/>
    <d v="2023-03-29T00:00:00"/>
    <s v="Rivergate"/>
    <s v="America/Los_Angeles"/>
    <x v="4"/>
    <x v="5"/>
    <x v="5"/>
    <s v="Columbia Sportswear"/>
    <s v="2023-03-29 16:02:23 -0700 PDT"/>
    <x v="9"/>
    <s v="Sahil.Patel@columbia.com"/>
    <s v="I observed use of better technique."/>
    <m/>
    <x v="12"/>
    <x v="2"/>
    <x v="1"/>
    <x v="2"/>
    <x v="12"/>
  </r>
  <r>
    <n v="240521"/>
    <d v="2023-03-29T00:00:00"/>
    <s v="Rivergate"/>
    <s v="America/Los_Angeles"/>
    <x v="3"/>
    <x v="6"/>
    <x v="6"/>
    <s v="Columbia Sportswear"/>
    <s v="2023-03-29 16:04:32 -0700 PDT"/>
    <x v="9"/>
    <s v="Sahil.Patel@columbia.com"/>
    <s v="I observed use of better technique."/>
    <m/>
    <x v="12"/>
    <x v="2"/>
    <x v="1"/>
    <x v="2"/>
    <x v="12"/>
  </r>
  <r>
    <n v="240522"/>
    <d v="2023-03-29T00:00:00"/>
    <s v="Rivergate"/>
    <s v="America/Los_Angeles"/>
    <x v="2"/>
    <x v="6"/>
    <x v="7"/>
    <s v="Columbia Sportswear"/>
    <s v="2023-03-29 16:06:24 -0700 PDT"/>
    <x v="9"/>
    <s v="Sahil.Patel@columbia.com"/>
    <s v="I observed use of better technique."/>
    <m/>
    <x v="12"/>
    <x v="2"/>
    <x v="1"/>
    <x v="2"/>
    <x v="12"/>
  </r>
  <r>
    <n v="240526"/>
    <d v="2023-03-30T00:00:00"/>
    <s v="Rivergate"/>
    <s v="America/Los_Angeles"/>
    <x v="4"/>
    <x v="5"/>
    <x v="5"/>
    <s v="Columbia Sportswear"/>
    <s v="2023-03-30 12:42:10 -0700 PDT"/>
    <x v="11"/>
    <s v="alan.mansfield@columbia.com"/>
    <s v="I observed use of better technique."/>
    <m/>
    <x v="12"/>
    <x v="2"/>
    <x v="1"/>
    <x v="2"/>
    <x v="12"/>
  </r>
  <r>
    <n v="240527"/>
    <d v="2023-03-30T00:00:00"/>
    <s v="Rivergate"/>
    <s v="America/Los_Angeles"/>
    <x v="2"/>
    <x v="6"/>
    <x v="7"/>
    <s v="Columbia Sportswear"/>
    <s v="2023-03-30 12:43:43 -0700 PDT"/>
    <x v="11"/>
    <s v="alan.mansfield@columbia.com"/>
    <s v="I provided guidance about using better technique."/>
    <m/>
    <x v="12"/>
    <x v="2"/>
    <x v="0"/>
    <x v="2"/>
    <x v="12"/>
  </r>
  <r>
    <n v="240529"/>
    <d v="2023-03-31T00:00:00"/>
    <s v="Rivergate"/>
    <s v="America/Los_Angeles"/>
    <x v="2"/>
    <x v="6"/>
    <x v="7"/>
    <s v="Columbia Sportswear"/>
    <s v="2023-03-30 18:52:28 -0700 PDT"/>
    <x v="10"/>
    <s v="KeLarsen@columbia.com"/>
    <s v="I provided guidance about using better technique."/>
    <m/>
    <x v="12"/>
    <x v="2"/>
    <x v="0"/>
    <x v="2"/>
    <x v="12"/>
  </r>
  <r>
    <n v="240530"/>
    <d v="2023-03-31T00:00:00"/>
    <s v="Rivergate"/>
    <s v="America/Los_Angeles"/>
    <x v="3"/>
    <x v="6"/>
    <x v="6"/>
    <s v="Columbia Sportswear"/>
    <s v="2023-03-30 18:53:21 -0700 PDT"/>
    <x v="10"/>
    <s v="KeLarsen@columbia.com"/>
    <s v="I provided guidance about using better technique."/>
    <m/>
    <x v="12"/>
    <x v="2"/>
    <x v="0"/>
    <x v="2"/>
    <x v="12"/>
  </r>
  <r>
    <n v="240531"/>
    <d v="2023-03-31T00:00:00"/>
    <s v="Rivergate"/>
    <s v="America/Los_Angeles"/>
    <x v="3"/>
    <x v="6"/>
    <x v="6"/>
    <s v="Columbia Sportswear"/>
    <s v="2023-03-30 19:22:24 -0700 PDT"/>
    <x v="1"/>
    <s v="JBizal@columbia.com"/>
    <s v="I observed use of better technique."/>
    <m/>
    <x v="12"/>
    <x v="2"/>
    <x v="1"/>
    <x v="2"/>
    <x v="12"/>
  </r>
  <r>
    <n v="240532"/>
    <d v="2023-03-31T00:00:00"/>
    <s v="Rivergate"/>
    <s v="America/Los_Angeles"/>
    <x v="2"/>
    <x v="6"/>
    <x v="7"/>
    <s v="Columbia Sportswear"/>
    <s v="2023-03-30 20:21:41 -0700 PDT"/>
    <x v="1"/>
    <s v="JBizal@columbia.com"/>
    <s v="I observed use of better technique."/>
    <m/>
    <x v="12"/>
    <x v="2"/>
    <x v="1"/>
    <x v="2"/>
    <x v="12"/>
  </r>
  <r>
    <n v="240533"/>
    <d v="2023-03-31T00:00:00"/>
    <s v="Rivergate"/>
    <s v="America/Los_Angeles"/>
    <x v="3"/>
    <x v="6"/>
    <x v="6"/>
    <s v="Columbia Sportswear"/>
    <s v="2023-03-30 23:06:36 -0700 PDT"/>
    <x v="1"/>
    <s v="JBizal@columbia.com"/>
    <s v="I observed use of better technique."/>
    <m/>
    <x v="12"/>
    <x v="2"/>
    <x v="1"/>
    <x v="2"/>
    <x v="12"/>
  </r>
  <r>
    <n v="240560"/>
    <d v="2023-03-31T00:00:00"/>
    <s v="Rivergate"/>
    <s v="America/Los_Angeles"/>
    <x v="2"/>
    <x v="6"/>
    <x v="7"/>
    <s v="Columbia Sportswear"/>
    <s v="2023-03-31 11:24:59 -0700 PDT"/>
    <x v="2"/>
    <s v="SSomerville@columbia.com"/>
    <s v="I observed use of better technique."/>
    <m/>
    <x v="12"/>
    <x v="2"/>
    <x v="1"/>
    <x v="2"/>
    <x v="12"/>
  </r>
  <r>
    <n v="240561"/>
    <d v="2023-03-31T00:00:00"/>
    <s v="Rivergate"/>
    <s v="America/Los_Angeles"/>
    <x v="2"/>
    <x v="6"/>
    <x v="7"/>
    <s v="Columbia Sportswear"/>
    <s v="2023-03-31 11:25:54 -0700 PDT"/>
    <x v="2"/>
    <s v="SSomerville@columbia.com"/>
    <s v="I observed use of better technique."/>
    <m/>
    <x v="12"/>
    <x v="2"/>
    <x v="1"/>
    <x v="2"/>
    <x v="12"/>
  </r>
  <r>
    <n v="240562"/>
    <d v="2023-03-31T00:00:00"/>
    <s v="Rivergate"/>
    <s v="America/Los_Angeles"/>
    <x v="2"/>
    <x v="6"/>
    <x v="7"/>
    <s v="Columbia Sportswear"/>
    <s v="2023-03-31 13:03:17 -0700 PDT"/>
    <x v="2"/>
    <s v="SSomerville@columbia.com"/>
    <s v="I observed use of better technique."/>
    <m/>
    <x v="12"/>
    <x v="2"/>
    <x v="1"/>
    <x v="2"/>
    <x v="12"/>
  </r>
  <r>
    <n v="240563"/>
    <d v="2023-03-31T00:00:00"/>
    <s v="Rivergate"/>
    <s v="America/Los_Angeles"/>
    <x v="3"/>
    <x v="6"/>
    <x v="6"/>
    <s v="Columbia Sportswear"/>
    <s v="2023-03-31 13:47:03 -0700 PDT"/>
    <x v="3"/>
    <s v="David.Alexander@columbia.com"/>
    <s v="I observed use of better technique."/>
    <m/>
    <x v="12"/>
    <x v="2"/>
    <x v="1"/>
    <x v="2"/>
    <x v="12"/>
  </r>
  <r>
    <n v="240564"/>
    <d v="2023-03-31T00:00:00"/>
    <s v="Rivergate"/>
    <s v="America/Los_Angeles"/>
    <x v="2"/>
    <x v="6"/>
    <x v="7"/>
    <s v="Columbia Sportswear"/>
    <s v="2023-03-31 13:47:14 -0700 PDT"/>
    <x v="3"/>
    <s v="David.Alexander@columbia.com"/>
    <s v="I observed use of better technique."/>
    <m/>
    <x v="12"/>
    <x v="2"/>
    <x v="1"/>
    <x v="2"/>
    <x v="12"/>
  </r>
  <r>
    <n v="240565"/>
    <d v="2023-03-31T00:00:00"/>
    <s v="Rivergate"/>
    <s v="America/Los_Angeles"/>
    <x v="4"/>
    <x v="5"/>
    <x v="5"/>
    <s v="Columbia Sportswear"/>
    <s v="2023-03-31 13:47:29 -0700 PDT"/>
    <x v="3"/>
    <s v="David.Alexander@columbia.com"/>
    <s v="I provided guidance about using better technique."/>
    <m/>
    <x v="12"/>
    <x v="2"/>
    <x v="0"/>
    <x v="2"/>
    <x v="12"/>
  </r>
  <r>
    <n v="240640"/>
    <d v="2023-04-07T00:00:00"/>
    <s v="Rivergate"/>
    <s v="America/Los_Angeles"/>
    <x v="3"/>
    <x v="6"/>
    <x v="6"/>
    <s v="Columbia Sportswear"/>
    <s v="2023-04-07 12:24:02 -0700 PDT"/>
    <x v="3"/>
    <s v="David.Alexander@columbia.com"/>
    <s v="I observed use of better technique."/>
    <m/>
    <x v="13"/>
    <x v="3"/>
    <x v="1"/>
    <x v="3"/>
    <x v="13"/>
  </r>
  <r>
    <n v="240641"/>
    <d v="2023-04-07T00:00:00"/>
    <s v="Rivergate"/>
    <s v="America/Los_Angeles"/>
    <x v="4"/>
    <x v="5"/>
    <x v="5"/>
    <s v="Columbia Sportswear"/>
    <s v="2023-04-07 12:24:13 -0700 PDT"/>
    <x v="3"/>
    <s v="David.Alexander@columbia.com"/>
    <s v="I observed use of better technique."/>
    <m/>
    <x v="13"/>
    <x v="3"/>
    <x v="1"/>
    <x v="3"/>
    <x v="13"/>
  </r>
  <r>
    <n v="240642"/>
    <d v="2023-04-07T00:00:00"/>
    <s v="Rivergate"/>
    <s v="America/Los_Angeles"/>
    <x v="4"/>
    <x v="5"/>
    <x v="5"/>
    <s v="Columbia Sportswear"/>
    <s v="2023-04-07 12:25:21 -0700 PDT"/>
    <x v="3"/>
    <s v="David.Alexander@columbia.com"/>
    <s v="I observed use of better technique."/>
    <m/>
    <x v="13"/>
    <x v="3"/>
    <x v="1"/>
    <x v="3"/>
    <x v="13"/>
  </r>
  <r>
    <n v="240643"/>
    <d v="2023-04-07T00:00:00"/>
    <s v="Rivergate"/>
    <s v="America/Los_Angeles"/>
    <x v="3"/>
    <x v="6"/>
    <x v="6"/>
    <s v="Columbia Sportswear"/>
    <s v="2023-04-07 12:25:37 -0700 PDT"/>
    <x v="3"/>
    <s v="David.Alexander@columbia.com"/>
    <s v="I observed use of better technique."/>
    <m/>
    <x v="13"/>
    <x v="3"/>
    <x v="1"/>
    <x v="3"/>
    <x v="13"/>
  </r>
  <r>
    <n v="240644"/>
    <d v="2023-04-07T00:00:00"/>
    <s v="Rivergate"/>
    <s v="America/Los_Angeles"/>
    <x v="2"/>
    <x v="6"/>
    <x v="7"/>
    <s v="Columbia Sportswear"/>
    <s v="2023-04-07 12:26:10 -0700 PDT"/>
    <x v="3"/>
    <s v="David.Alexander@columbia.com"/>
    <s v="I provided guidance about using better technique."/>
    <m/>
    <x v="13"/>
    <x v="3"/>
    <x v="0"/>
    <x v="3"/>
    <x v="13"/>
  </r>
  <r>
    <n v="240672"/>
    <d v="2023-04-12T00:00:00"/>
    <s v="Rivergate"/>
    <s v="America/Los_Angeles"/>
    <x v="4"/>
    <x v="5"/>
    <x v="5"/>
    <s v="Columbia Sportswear"/>
    <s v="2023-04-12 01:02:08 -0700 PDT"/>
    <x v="7"/>
    <s v="Nicholas.Kulak@columbia.com"/>
    <s v="I observed use of better technique."/>
    <m/>
    <x v="14"/>
    <x v="3"/>
    <x v="1"/>
    <x v="3"/>
    <x v="14"/>
  </r>
  <r>
    <n v="240673"/>
    <d v="2023-04-12T00:00:00"/>
    <s v="Rivergate"/>
    <s v="America/Los_Angeles"/>
    <x v="3"/>
    <x v="6"/>
    <x v="6"/>
    <s v="Columbia Sportswear"/>
    <s v="2023-04-12 01:03:44 -0700 PDT"/>
    <x v="7"/>
    <s v="Nicholas.Kulak@columbia.com"/>
    <s v="I observed use of better technique."/>
    <m/>
    <x v="14"/>
    <x v="3"/>
    <x v="1"/>
    <x v="3"/>
    <x v="14"/>
  </r>
  <r>
    <n v="240674"/>
    <d v="2023-04-12T00:00:00"/>
    <s v="Rivergate"/>
    <s v="America/Los_Angeles"/>
    <x v="4"/>
    <x v="5"/>
    <x v="5"/>
    <s v="Columbia Sportswear"/>
    <s v="2023-04-12 01:05:01 -0700 PDT"/>
    <x v="7"/>
    <s v="Nicholas.Kulak@columbia.com"/>
    <s v="I provided guidance about using better technique."/>
    <m/>
    <x v="14"/>
    <x v="3"/>
    <x v="0"/>
    <x v="3"/>
    <x v="14"/>
  </r>
  <r>
    <n v="240686"/>
    <d v="2023-04-13T00:00:00"/>
    <s v="Rivergate"/>
    <s v="America/Los_Angeles"/>
    <x v="4"/>
    <x v="5"/>
    <x v="5"/>
    <s v="Columbia Sportswear"/>
    <s v="2023-04-12 18:30:46 -0700 PDT"/>
    <x v="10"/>
    <s v="KeLarsen@columbia.com"/>
    <s v="I provided guidance about using better technique."/>
    <m/>
    <x v="14"/>
    <x v="3"/>
    <x v="0"/>
    <x v="3"/>
    <x v="14"/>
  </r>
  <r>
    <n v="240687"/>
    <d v="2023-04-13T00:00:00"/>
    <s v="Rivergate"/>
    <s v="America/Los_Angeles"/>
    <x v="3"/>
    <x v="6"/>
    <x v="6"/>
    <s v="Columbia Sportswear"/>
    <s v="2023-04-12 18:32:59 -0700 PDT"/>
    <x v="10"/>
    <s v="KeLarsen@columbia.com"/>
    <s v="I observed use of better technique."/>
    <m/>
    <x v="14"/>
    <x v="3"/>
    <x v="1"/>
    <x v="3"/>
    <x v="14"/>
  </r>
  <r>
    <n v="240688"/>
    <d v="2023-04-13T00:00:00"/>
    <s v="Rivergate"/>
    <s v="America/Los_Angeles"/>
    <x v="2"/>
    <x v="6"/>
    <x v="7"/>
    <s v="Columbia Sportswear"/>
    <s v="2023-04-12 18:34:46 -0700 PDT"/>
    <x v="10"/>
    <s v="KeLarsen@columbia.com"/>
    <s v="I provided guidance about using better technique."/>
    <m/>
    <x v="14"/>
    <x v="3"/>
    <x v="0"/>
    <x v="3"/>
    <x v="14"/>
  </r>
  <r>
    <n v="240689"/>
    <d v="2023-04-13T00:00:00"/>
    <s v="Rivergate"/>
    <s v="America/Los_Angeles"/>
    <x v="4"/>
    <x v="5"/>
    <x v="5"/>
    <s v="Columbia Sportswear"/>
    <s v="2023-04-12 23:27:42 -0700 PDT"/>
    <x v="10"/>
    <s v="KeLarsen@columbia.com"/>
    <s v="I observed use of better technique."/>
    <m/>
    <x v="14"/>
    <x v="3"/>
    <x v="1"/>
    <x v="3"/>
    <x v="14"/>
  </r>
  <r>
    <n v="240700"/>
    <d v="2023-04-14T00:00:00"/>
    <s v="Rivergate"/>
    <s v="America/Los_Angeles"/>
    <x v="3"/>
    <x v="6"/>
    <x v="6"/>
    <s v="Columbia Sportswear"/>
    <s v="2023-04-13 22:12:27 -0700 PDT"/>
    <x v="1"/>
    <s v="JBizal@columbia.com"/>
    <s v="I observed use of better technique."/>
    <m/>
    <x v="14"/>
    <x v="3"/>
    <x v="1"/>
    <x v="3"/>
    <x v="14"/>
  </r>
  <r>
    <n v="240701"/>
    <d v="2023-04-14T00:00:00"/>
    <s v="Rivergate"/>
    <s v="America/Los_Angeles"/>
    <x v="4"/>
    <x v="5"/>
    <x v="5"/>
    <s v="Columbia Sportswear"/>
    <s v="2023-04-13 22:12:42 -0700 PDT"/>
    <x v="1"/>
    <s v="JBizal@columbia.com"/>
    <s v="I observed use of better technique."/>
    <m/>
    <x v="14"/>
    <x v="3"/>
    <x v="1"/>
    <x v="3"/>
    <x v="14"/>
  </r>
  <r>
    <n v="240702"/>
    <d v="2023-04-14T00:00:00"/>
    <s v="Rivergate"/>
    <s v="America/Los_Angeles"/>
    <x v="2"/>
    <x v="6"/>
    <x v="7"/>
    <s v="Columbia Sportswear"/>
    <s v="2023-04-13 23:19:31 -0700 PDT"/>
    <x v="1"/>
    <s v="JBizal@columbia.com"/>
    <s v="I observed use of better technique."/>
    <m/>
    <x v="14"/>
    <x v="3"/>
    <x v="1"/>
    <x v="3"/>
    <x v="14"/>
  </r>
  <r>
    <n v="240703"/>
    <d v="2023-04-14T00:00:00"/>
    <s v="Rivergate"/>
    <s v="America/Los_Angeles"/>
    <x v="4"/>
    <x v="5"/>
    <x v="5"/>
    <s v="Columbia Sportswear"/>
    <s v="2023-04-14 00:30:47 -0700 PDT"/>
    <x v="5"/>
    <s v="SPetersen@columbia.com"/>
    <s v="I observed use of better technique."/>
    <m/>
    <x v="14"/>
    <x v="3"/>
    <x v="1"/>
    <x v="3"/>
    <x v="14"/>
  </r>
  <r>
    <n v="240704"/>
    <d v="2023-04-14T00:00:00"/>
    <s v="Rivergate"/>
    <s v="America/Los_Angeles"/>
    <x v="2"/>
    <x v="6"/>
    <x v="7"/>
    <s v="Columbia Sportswear"/>
    <s v="2023-04-14 00:31:54 -0700 PDT"/>
    <x v="5"/>
    <s v="SPetersen@columbia.com"/>
    <s v="I provided guidance about using better technique."/>
    <m/>
    <x v="14"/>
    <x v="3"/>
    <x v="0"/>
    <x v="3"/>
    <x v="14"/>
  </r>
  <r>
    <n v="240721"/>
    <d v="2023-04-14T00:00:00"/>
    <s v="Rivergate"/>
    <s v="America/Los_Angeles"/>
    <x v="3"/>
    <x v="6"/>
    <x v="6"/>
    <s v="Columbia Sportswear"/>
    <s v="2023-04-14 12:37:16 -0700 PDT"/>
    <x v="8"/>
    <s v="matthew.frank@columbia.com"/>
    <s v="I observed use of better technique."/>
    <m/>
    <x v="14"/>
    <x v="3"/>
    <x v="1"/>
    <x v="3"/>
    <x v="14"/>
  </r>
  <r>
    <n v="240722"/>
    <d v="2023-04-14T00:00:00"/>
    <s v="Rivergate"/>
    <s v="America/Los_Angeles"/>
    <x v="2"/>
    <x v="6"/>
    <x v="7"/>
    <s v="Columbia Sportswear"/>
    <s v="2023-04-14 12:37:26 -0700 PDT"/>
    <x v="8"/>
    <s v="matthew.frank@columbia.com"/>
    <s v="I observed use of better technique."/>
    <m/>
    <x v="14"/>
    <x v="3"/>
    <x v="1"/>
    <x v="3"/>
    <x v="14"/>
  </r>
  <r>
    <n v="240723"/>
    <d v="2023-04-14T00:00:00"/>
    <s v="Rivergate"/>
    <s v="America/Los_Angeles"/>
    <x v="4"/>
    <x v="5"/>
    <x v="5"/>
    <s v="Columbia Sportswear"/>
    <s v="2023-04-14 12:37:35 -0700 PDT"/>
    <x v="8"/>
    <s v="matthew.frank@columbia.com"/>
    <s v="I observed use of better technique."/>
    <m/>
    <x v="14"/>
    <x v="3"/>
    <x v="1"/>
    <x v="3"/>
    <x v="14"/>
  </r>
  <r>
    <n v="240724"/>
    <d v="2023-04-14T00:00:00"/>
    <s v="Rivergate"/>
    <s v="America/Los_Angeles"/>
    <x v="4"/>
    <x v="5"/>
    <x v="5"/>
    <s v="Columbia Sportswear"/>
    <s v="2023-04-14 12:37:40 -0700 PDT"/>
    <x v="8"/>
    <s v="matthew.frank@columbia.com"/>
    <s v="I observed use of better technique."/>
    <m/>
    <x v="14"/>
    <x v="3"/>
    <x v="1"/>
    <x v="3"/>
    <x v="14"/>
  </r>
  <r>
    <n v="240737"/>
    <d v="2023-04-19T00:00:00"/>
    <s v="Rivergate"/>
    <s v="America/Los_Angeles"/>
    <x v="3"/>
    <x v="6"/>
    <x v="6"/>
    <s v="Columbia Sportswear"/>
    <s v="2023-04-19 08:56:28 -0700 PDT"/>
    <x v="12"/>
    <s v="ITipton@columbia.com"/>
    <s v="I provided guidance about using better technique."/>
    <m/>
    <x v="15"/>
    <x v="3"/>
    <x v="0"/>
    <x v="3"/>
    <x v="15"/>
  </r>
  <r>
    <n v="240738"/>
    <d v="2023-04-20T00:00:00"/>
    <s v="Rivergate"/>
    <s v="America/Los_Angeles"/>
    <x v="2"/>
    <x v="6"/>
    <x v="7"/>
    <s v="Columbia Sportswear"/>
    <s v="2023-04-20 08:41:15 -0700 PDT"/>
    <x v="12"/>
    <s v="ITipton@columbia.com"/>
    <s v="I provided guidance about using better technique."/>
    <m/>
    <x v="15"/>
    <x v="3"/>
    <x v="0"/>
    <x v="3"/>
    <x v="15"/>
  </r>
  <r>
    <n v="240739"/>
    <d v="2023-04-20T00:00:00"/>
    <s v="Rivergate"/>
    <s v="America/Los_Angeles"/>
    <x v="2"/>
    <x v="6"/>
    <x v="7"/>
    <s v="Columbia Sportswear"/>
    <s v="2023-04-20 11:09:58 -0700 PDT"/>
    <x v="3"/>
    <s v="David.Alexander@columbia.com"/>
    <s v="I provided guidance about using better technique."/>
    <m/>
    <x v="15"/>
    <x v="3"/>
    <x v="0"/>
    <x v="3"/>
    <x v="15"/>
  </r>
  <r>
    <n v="240740"/>
    <d v="2023-04-20T00:00:00"/>
    <s v="Rivergate"/>
    <s v="America/Los_Angeles"/>
    <x v="3"/>
    <x v="6"/>
    <x v="6"/>
    <s v="Columbia Sportswear"/>
    <s v="2023-04-20 11:10:12 -0700 PDT"/>
    <x v="3"/>
    <s v="David.Alexander@columbia.com"/>
    <s v="I provided guidance about using better technique."/>
    <m/>
    <x v="15"/>
    <x v="3"/>
    <x v="0"/>
    <x v="3"/>
    <x v="15"/>
  </r>
  <r>
    <n v="240741"/>
    <d v="2023-04-20T00:00:00"/>
    <s v="Rivergate"/>
    <s v="America/Los_Angeles"/>
    <x v="3"/>
    <x v="6"/>
    <x v="6"/>
    <s v="Columbia Sportswear"/>
    <s v="2023-04-20 11:10:31 -0700 PDT"/>
    <x v="3"/>
    <s v="David.Alexander@columbia.com"/>
    <s v="I provided guidance about using better technique."/>
    <m/>
    <x v="15"/>
    <x v="3"/>
    <x v="0"/>
    <x v="3"/>
    <x v="15"/>
  </r>
  <r>
    <n v="240750"/>
    <d v="2023-04-25T00:00:00"/>
    <s v="Rivergate"/>
    <s v="America/Los_Angeles"/>
    <x v="3"/>
    <x v="6"/>
    <x v="6"/>
    <s v="Columbia Sportswear"/>
    <s v="2023-04-24 21:21:50 -0700 PDT"/>
    <x v="5"/>
    <s v="SPetersen@columbia.com"/>
    <s v="I provided guidance about using better technique."/>
    <m/>
    <x v="16"/>
    <x v="3"/>
    <x v="0"/>
    <x v="3"/>
    <x v="16"/>
  </r>
  <r>
    <n v="240751"/>
    <d v="2023-04-25T00:00:00"/>
    <s v="Rivergate"/>
    <s v="America/Los_Angeles"/>
    <x v="4"/>
    <x v="5"/>
    <x v="5"/>
    <s v="Columbia Sportswear"/>
    <s v="2023-04-25 00:34:45 -0700 PDT"/>
    <x v="9"/>
    <s v="Sahil.Patel@columbia.com"/>
    <s v="I observed use of better technique."/>
    <m/>
    <x v="16"/>
    <x v="3"/>
    <x v="1"/>
    <x v="3"/>
    <x v="16"/>
  </r>
  <r>
    <n v="240752"/>
    <d v="2023-04-25T00:00:00"/>
    <s v="Rivergate"/>
    <s v="America/Los_Angeles"/>
    <x v="4"/>
    <x v="5"/>
    <x v="5"/>
    <s v="Columbia Sportswear"/>
    <s v="2023-04-25 00:35:44 -0700 PDT"/>
    <x v="9"/>
    <s v="Sahil.Patel@columbia.com"/>
    <s v="I provided guidance about using better technique."/>
    <m/>
    <x v="16"/>
    <x v="3"/>
    <x v="0"/>
    <x v="3"/>
    <x v="16"/>
  </r>
  <r>
    <n v="240753"/>
    <d v="2023-04-25T00:00:00"/>
    <s v="Rivergate"/>
    <s v="America/Los_Angeles"/>
    <x v="2"/>
    <x v="6"/>
    <x v="7"/>
    <s v="Columbia Sportswear"/>
    <s v="2023-04-25 00:36:37 -0700 PDT"/>
    <x v="9"/>
    <s v="Sahil.Patel@columbia.com"/>
    <s v="I observed use of better technique."/>
    <m/>
    <x v="16"/>
    <x v="3"/>
    <x v="1"/>
    <x v="3"/>
    <x v="16"/>
  </r>
  <r>
    <n v="240805"/>
    <d v="2023-04-28T00:00:00"/>
    <s v="Rivergate"/>
    <s v="America/Los_Angeles"/>
    <x v="4"/>
    <x v="5"/>
    <x v="5"/>
    <s v="Columbia Sportswear"/>
    <s v="2023-04-28 11:59:45 -0700 PDT"/>
    <x v="8"/>
    <s v="matthew.frank@columbia.com"/>
    <s v="I provided guidance about using better technique."/>
    <m/>
    <x v="16"/>
    <x v="3"/>
    <x v="0"/>
    <x v="3"/>
    <x v="16"/>
  </r>
  <r>
    <n v="240806"/>
    <d v="2023-04-28T00:00:00"/>
    <s v="Rivergate"/>
    <s v="America/Los_Angeles"/>
    <x v="2"/>
    <x v="6"/>
    <x v="7"/>
    <s v="Columbia Sportswear"/>
    <s v="2023-04-28 15:02:09 -0700 PDT"/>
    <x v="3"/>
    <s v="David.Alexander@columbia.com"/>
    <s v="I observed use of better technique."/>
    <m/>
    <x v="16"/>
    <x v="3"/>
    <x v="1"/>
    <x v="3"/>
    <x v="16"/>
  </r>
  <r>
    <n v="240807"/>
    <d v="2023-04-28T00:00:00"/>
    <s v="Rivergate"/>
    <s v="America/Los_Angeles"/>
    <x v="4"/>
    <x v="5"/>
    <x v="5"/>
    <s v="Columbia Sportswear"/>
    <s v="2023-04-28 15:02:23 -0700 PDT"/>
    <x v="3"/>
    <s v="David.Alexander@columbia.com"/>
    <s v="I provided guidance about using better technique."/>
    <m/>
    <x v="16"/>
    <x v="3"/>
    <x v="0"/>
    <x v="3"/>
    <x v="16"/>
  </r>
  <r>
    <n v="240808"/>
    <d v="2023-04-28T00:00:00"/>
    <s v="Rivergate"/>
    <s v="America/Los_Angeles"/>
    <x v="4"/>
    <x v="5"/>
    <x v="5"/>
    <s v="Columbia Sportswear"/>
    <s v="2023-04-28 15:02:34 -0700 PDT"/>
    <x v="3"/>
    <s v="David.Alexander@columbia.com"/>
    <s v="I observed use of better technique."/>
    <m/>
    <x v="16"/>
    <x v="3"/>
    <x v="1"/>
    <x v="3"/>
    <x v="16"/>
  </r>
  <r>
    <n v="240845"/>
    <d v="2023-05-02T00:00:00"/>
    <s v="Rivergate"/>
    <s v="America/Los_Angeles"/>
    <x v="4"/>
    <x v="5"/>
    <x v="5"/>
    <s v="Columbia Sportswear"/>
    <s v="2023-05-02 16:25:08 -0700 PDT"/>
    <x v="10"/>
    <s v="KeLarsen@columbia.com"/>
    <s v="I observed use of better technique."/>
    <m/>
    <x v="17"/>
    <x v="4"/>
    <x v="1"/>
    <x v="4"/>
    <x v="17"/>
  </r>
  <r>
    <n v="240846"/>
    <d v="2023-05-02T00:00:00"/>
    <s v="Rivergate"/>
    <s v="America/Los_Angeles"/>
    <x v="2"/>
    <x v="6"/>
    <x v="7"/>
    <s v="Columbia Sportswear"/>
    <s v="2023-05-02 16:26:19 -0700 PDT"/>
    <x v="10"/>
    <s v="KeLarsen@columbia.com"/>
    <s v="I provided guidance about using better technique."/>
    <m/>
    <x v="17"/>
    <x v="4"/>
    <x v="0"/>
    <x v="4"/>
    <x v="17"/>
  </r>
  <r>
    <n v="240885"/>
    <d v="2023-05-05T00:00:00"/>
    <s v="Rivergate"/>
    <s v="America/Los_Angeles"/>
    <x v="4"/>
    <x v="5"/>
    <x v="5"/>
    <s v="Columbia Sportswear"/>
    <s v="2023-05-05 13:47:49 -0700 PDT"/>
    <x v="3"/>
    <s v="David.Alexander@columbia.com"/>
    <s v="I observed use of better technique."/>
    <m/>
    <x v="17"/>
    <x v="4"/>
    <x v="1"/>
    <x v="4"/>
    <x v="17"/>
  </r>
  <r>
    <n v="240886"/>
    <d v="2023-05-05T00:00:00"/>
    <s v="Rivergate"/>
    <s v="America/Los_Angeles"/>
    <x v="4"/>
    <x v="5"/>
    <x v="5"/>
    <s v="Columbia Sportswear"/>
    <s v="2023-05-05 13:47:55 -0700 PDT"/>
    <x v="3"/>
    <s v="David.Alexander@columbia.com"/>
    <s v="I observed use of better technique."/>
    <m/>
    <x v="17"/>
    <x v="4"/>
    <x v="1"/>
    <x v="4"/>
    <x v="17"/>
  </r>
  <r>
    <n v="240887"/>
    <d v="2023-05-05T00:00:00"/>
    <s v="Rivergate"/>
    <s v="America/Los_Angeles"/>
    <x v="4"/>
    <x v="5"/>
    <x v="5"/>
    <s v="Columbia Sportswear"/>
    <s v="2023-05-05 13:48:05 -0700 PDT"/>
    <x v="3"/>
    <s v="David.Alexander@columbia.com"/>
    <s v="I observed use of better technique."/>
    <m/>
    <x v="17"/>
    <x v="4"/>
    <x v="1"/>
    <x v="4"/>
    <x v="17"/>
  </r>
  <r>
    <n v="240888"/>
    <d v="2023-05-05T00:00:00"/>
    <s v="Rivergate"/>
    <s v="America/Los_Angeles"/>
    <x v="4"/>
    <x v="5"/>
    <x v="5"/>
    <s v="Columbia Sportswear"/>
    <s v="2023-05-05 13:48:24 -0700 PDT"/>
    <x v="3"/>
    <s v="David.Alexander@columbia.com"/>
    <s v="I provided guidance about using better technique."/>
    <m/>
    <x v="17"/>
    <x v="4"/>
    <x v="0"/>
    <x v="4"/>
    <x v="17"/>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r>
    <m/>
    <m/>
    <m/>
    <m/>
    <x v="5"/>
    <x v="7"/>
    <x v="0"/>
    <m/>
    <m/>
    <x v="13"/>
    <m/>
    <m/>
    <m/>
    <x v="18"/>
    <x v="5"/>
    <x v="1"/>
    <x v="5"/>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3">
  <location ref="A3:D31" firstHeaderRow="1" firstDataRow="2" firstDataCol="1" rowPageCount="1" colPageCount="1"/>
  <pivotFields count="18">
    <pivotField showAll="0"/>
    <pivotField numFmtId="14" showAll="0"/>
    <pivotField showAll="0"/>
    <pivotField showAll="0"/>
    <pivotField axis="axisRow" showAll="0">
      <items count="7">
        <item x="4"/>
        <item x="1"/>
        <item x="0"/>
        <item x="3"/>
        <item x="2"/>
        <item x="5"/>
        <item t="default"/>
      </items>
    </pivotField>
    <pivotField axis="axisRow" showAll="0">
      <items count="19">
        <item m="1" x="9"/>
        <item x="5"/>
        <item x="0"/>
        <item x="1"/>
        <item m="1" x="16"/>
        <item m="1" x="14"/>
        <item m="1" x="15"/>
        <item m="1" x="17"/>
        <item m="1" x="8"/>
        <item m="1" x="13"/>
        <item m="1" x="10"/>
        <item x="3"/>
        <item x="2"/>
        <item m="1" x="11"/>
        <item x="6"/>
        <item m="1" x="12"/>
        <item x="4"/>
        <item x="7"/>
        <item t="default"/>
      </items>
    </pivotField>
    <pivotField axis="axisRow" showAll="0">
      <items count="19">
        <item x="3"/>
        <item m="1" x="15"/>
        <item x="1"/>
        <item m="1" x="14"/>
        <item x="2"/>
        <item x="5"/>
        <item m="1" x="12"/>
        <item x="0"/>
        <item m="1" x="10"/>
        <item m="1" x="9"/>
        <item m="1" x="13"/>
        <item m="1" x="16"/>
        <item x="4"/>
        <item x="7"/>
        <item m="1" x="8"/>
        <item m="1" x="11"/>
        <item x="6"/>
        <item m="1" x="17"/>
        <item t="default"/>
      </items>
    </pivotField>
    <pivotField showAll="0"/>
    <pivotField showAll="0"/>
    <pivotField showAll="0"/>
    <pivotField showAll="0"/>
    <pivotField dataField="1" showAll="0"/>
    <pivotField showAll="0"/>
    <pivotField showAll="0"/>
    <pivotField axis="axisPage" showAll="0">
      <items count="14">
        <item x="3"/>
        <item x="4"/>
        <item m="1" x="6"/>
        <item m="1" x="7"/>
        <item m="1" x="8"/>
        <item m="1" x="9"/>
        <item m="1" x="10"/>
        <item m="1" x="11"/>
        <item m="1" x="12"/>
        <item x="0"/>
        <item x="5"/>
        <item x="1"/>
        <item x="2"/>
        <item t="default"/>
      </items>
    </pivotField>
    <pivotField axis="axisCol" showAll="0">
      <items count="4">
        <item x="1"/>
        <item x="0"/>
        <item m="1" x="2"/>
        <item t="default"/>
      </items>
    </pivotField>
    <pivotField showAll="0"/>
    <pivotField showAll="0"/>
  </pivotFields>
  <rowFields count="3">
    <field x="4"/>
    <field x="5"/>
    <field x="6"/>
  </rowFields>
  <rowItems count="27">
    <i>
      <x/>
    </i>
    <i r="1">
      <x v="1"/>
    </i>
    <i r="2">
      <x v="5"/>
    </i>
    <i>
      <x v="1"/>
    </i>
    <i r="1">
      <x v="3"/>
    </i>
    <i r="2">
      <x/>
    </i>
    <i r="2">
      <x v="2"/>
    </i>
    <i r="2">
      <x v="4"/>
    </i>
    <i>
      <x v="2"/>
    </i>
    <i r="1">
      <x v="2"/>
    </i>
    <i r="2">
      <x v="7"/>
    </i>
    <i r="1">
      <x v="16"/>
    </i>
    <i r="2">
      <x v="7"/>
    </i>
    <i>
      <x v="3"/>
    </i>
    <i r="1">
      <x v="11"/>
    </i>
    <i r="2">
      <x v="12"/>
    </i>
    <i r="1">
      <x v="14"/>
    </i>
    <i r="2">
      <x v="16"/>
    </i>
    <i>
      <x v="4"/>
    </i>
    <i r="1">
      <x v="12"/>
    </i>
    <i r="2">
      <x v="7"/>
    </i>
    <i r="1">
      <x v="14"/>
    </i>
    <i r="2">
      <x v="13"/>
    </i>
    <i>
      <x v="5"/>
    </i>
    <i r="1">
      <x v="17"/>
    </i>
    <i r="2">
      <x v="7"/>
    </i>
    <i t="grand">
      <x/>
    </i>
  </rowItems>
  <colFields count="1">
    <field x="15"/>
  </colFields>
  <colItems count="3">
    <i>
      <x/>
    </i>
    <i>
      <x v="1"/>
    </i>
    <i t="grand">
      <x/>
    </i>
  </colItems>
  <pageFields count="1">
    <pageField fld="14" hier="-1"/>
  </pageFields>
  <dataFields count="1">
    <dataField name="Count of result" fld="11" subtotal="count" baseField="0" baseItem="0"/>
  </dataFields>
  <chartFormats count="6">
    <chartFormat chart="0" format="0" series="1">
      <pivotArea type="data" outline="0" fieldPosition="0">
        <references count="2">
          <reference field="4294967294" count="1" selected="0">
            <x v="0"/>
          </reference>
          <reference field="15" count="1" selected="0">
            <x v="0"/>
          </reference>
        </references>
      </pivotArea>
    </chartFormat>
    <chartFormat chart="0" format="1" series="1">
      <pivotArea type="data" outline="0" fieldPosition="0">
        <references count="2">
          <reference field="4294967294" count="1" selected="0">
            <x v="0"/>
          </reference>
          <reference field="15" count="1" selected="0">
            <x v="1"/>
          </reference>
        </references>
      </pivotArea>
    </chartFormat>
    <chartFormat chart="2" format="4" series="1">
      <pivotArea type="data" outline="0" fieldPosition="0">
        <references count="2">
          <reference field="4294967294" count="1" selected="0">
            <x v="0"/>
          </reference>
          <reference field="15" count="1" selected="0">
            <x v="0"/>
          </reference>
        </references>
      </pivotArea>
    </chartFormat>
    <chartFormat chart="2" format="5" series="1">
      <pivotArea type="data" outline="0" fieldPosition="0">
        <references count="2">
          <reference field="4294967294" count="1" selected="0">
            <x v="0"/>
          </reference>
          <reference field="15" count="1" selected="0">
            <x v="1"/>
          </reference>
        </references>
      </pivotArea>
    </chartFormat>
    <chartFormat chart="0" format="5" series="1">
      <pivotArea type="data" outline="0" fieldPosition="0">
        <references count="2">
          <reference field="4294967294" count="1" selected="0">
            <x v="0"/>
          </reference>
          <reference field="15" count="1" selected="0">
            <x v="2"/>
          </reference>
        </references>
      </pivotArea>
    </chartFormat>
    <chartFormat chart="2" format="9" series="1">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2"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5" rowHeaderCaption="" colHeaderCaption="">
  <location ref="A3:B5" firstHeaderRow="1" firstDataRow="2" firstDataCol="1"/>
  <pivotFields count="18">
    <pivotField showAll="0"/>
    <pivotField numFmtId="14" showAll="0"/>
    <pivotField showAll="0"/>
    <pivotField showAll="0"/>
    <pivotField showAll="0"/>
    <pivotField showAll="0"/>
    <pivotField showAll="0"/>
    <pivotField showAll="0"/>
    <pivotField showAll="0"/>
    <pivotField axis="axisRow" showAll="0" sortType="descending">
      <items count="26">
        <item x="13"/>
        <item x="5"/>
        <item x="0"/>
        <item x="2"/>
        <item x="9"/>
        <item m="1" x="24"/>
        <item x="7"/>
        <item m="1" x="14"/>
        <item x="8"/>
        <item x="6"/>
        <item x="10"/>
        <item m="1" x="23"/>
        <item m="1" x="16"/>
        <item x="1"/>
        <item x="12"/>
        <item m="1" x="20"/>
        <item x="3"/>
        <item m="1" x="21"/>
        <item m="1" x="19"/>
        <item x="4"/>
        <item m="1" x="18"/>
        <item m="1" x="15"/>
        <item m="1" x="17"/>
        <item m="1" x="22"/>
        <item x="11"/>
        <item t="default"/>
      </items>
    </pivotField>
    <pivotField showAll="0"/>
    <pivotField dataField="1" showAll="0"/>
    <pivotField showAll="0"/>
    <pivotField showAll="0">
      <items count="51">
        <item h="1" x="0"/>
        <item h="1" x="1"/>
        <item h="1" x="2"/>
        <item h="1" x="3"/>
        <item h="1" x="4"/>
        <item h="1" x="5"/>
        <item h="1" x="6"/>
        <item h="1" x="7"/>
        <item h="1" x="8"/>
        <item h="1" x="9"/>
        <item h="1" x="10"/>
        <item h="1" x="11"/>
        <item h="1" x="12"/>
        <item h="1" x="13"/>
        <item h="1" x="14"/>
        <item h="1" x="15"/>
        <item h="1" x="16"/>
        <item h="1" x="17"/>
        <item h="1" m="1" x="27"/>
        <item m="1" x="28"/>
        <item h="1" m="1" x="30"/>
        <item h="1" m="1" x="32"/>
        <item h="1" m="1" x="34"/>
        <item h="1" m="1" x="36"/>
        <item h="1" m="1" x="38"/>
        <item h="1" m="1" x="40"/>
        <item h="1" m="1" x="42"/>
        <item h="1" m="1" x="44"/>
        <item h="1" m="1" x="46"/>
        <item h="1" m="1" x="47"/>
        <item h="1" m="1" x="48"/>
        <item h="1" m="1" x="49"/>
        <item h="1" m="1" x="29"/>
        <item h="1" m="1" x="19"/>
        <item h="1" m="1" x="31"/>
        <item h="1" m="1" x="20"/>
        <item h="1" m="1" x="33"/>
        <item h="1" m="1" x="21"/>
        <item h="1" m="1" x="35"/>
        <item h="1" m="1" x="22"/>
        <item h="1" m="1" x="37"/>
        <item h="1" m="1" x="23"/>
        <item h="1" m="1" x="39"/>
        <item h="1" m="1" x="24"/>
        <item h="1" m="1" x="41"/>
        <item h="1" m="1" x="25"/>
        <item h="1" m="1" x="43"/>
        <item h="1" m="1" x="26"/>
        <item h="1" m="1" x="45"/>
        <item h="1" x="18"/>
        <item t="default"/>
      </items>
    </pivotField>
    <pivotField showAll="0"/>
    <pivotField showAll="0"/>
    <pivotField showAll="0"/>
    <pivotField axis="axisCol" showAll="0" sortType="descending">
      <items count="52">
        <item m="1" x="19"/>
        <item x="8"/>
        <item x="7"/>
        <item x="6"/>
        <item x="5"/>
        <item x="4"/>
        <item m="1" x="50"/>
        <item m="1" x="48"/>
        <item m="1" x="45"/>
        <item m="1" x="41"/>
        <item m="1" x="38"/>
        <item m="1" x="35"/>
        <item m="1" x="32"/>
        <item m="1" x="29"/>
        <item m="1" x="26"/>
        <item m="1" x="23"/>
        <item x="3"/>
        <item m="1" x="49"/>
        <item m="1" x="46"/>
        <item m="1" x="42"/>
        <item m="1" x="39"/>
        <item m="1" x="36"/>
        <item m="1" x="33"/>
        <item m="1" x="30"/>
        <item m="1" x="27"/>
        <item m="1" x="24"/>
        <item m="1" x="21"/>
        <item x="2"/>
        <item m="1" x="47"/>
        <item m="1" x="43"/>
        <item m="1" x="40"/>
        <item m="1" x="37"/>
        <item m="1" x="34"/>
        <item m="1" x="31"/>
        <item m="1" x="28"/>
        <item m="1" x="25"/>
        <item m="1" x="22"/>
        <item m="1" x="20"/>
        <item x="1"/>
        <item m="1" x="44"/>
        <item x="17"/>
        <item x="16"/>
        <item x="15"/>
        <item x="14"/>
        <item x="13"/>
        <item x="12"/>
        <item x="11"/>
        <item x="10"/>
        <item x="9"/>
        <item x="0"/>
        <item x="18"/>
        <item t="default"/>
      </items>
    </pivotField>
  </pivotFields>
  <rowFields count="1">
    <field x="9"/>
  </rowFields>
  <rowItems count="1">
    <i t="grand">
      <x/>
    </i>
  </rowItems>
  <colFields count="1">
    <field x="17"/>
  </colFields>
  <colItems count="1">
    <i t="grand">
      <x/>
    </i>
  </colItems>
  <dataFields count="1">
    <dataField name="Count of Observations" fld="11" subtotal="count" baseField="0" baseItem="0"/>
  </dataFields>
  <chartFormats count="121">
    <chartFormat chart="0" format="0" series="1">
      <pivotArea type="data" outline="0" fieldPosition="0">
        <references count="2">
          <reference field="4294967294" count="1" selected="0">
            <x v="0"/>
          </reference>
          <reference field="17" count="1" selected="0">
            <x v="40"/>
          </reference>
        </references>
      </pivotArea>
    </chartFormat>
    <chartFormat chart="0" format="1" series="1">
      <pivotArea type="data" outline="0" fieldPosition="0">
        <references count="2">
          <reference field="4294967294" count="1" selected="0">
            <x v="0"/>
          </reference>
          <reference field="17" count="1" selected="0">
            <x v="39"/>
          </reference>
        </references>
      </pivotArea>
    </chartFormat>
    <chartFormat chart="0" format="2" series="1">
      <pivotArea type="data" outline="0" fieldPosition="0">
        <references count="2">
          <reference field="4294967294" count="1" selected="0">
            <x v="0"/>
          </reference>
          <reference field="17" count="1" selected="0">
            <x v="37"/>
          </reference>
        </references>
      </pivotArea>
    </chartFormat>
    <chartFormat chart="0" format="3" series="1">
      <pivotArea type="data" outline="0" fieldPosition="0">
        <references count="3">
          <reference field="4294967294" count="1" selected="0">
            <x v="0"/>
          </reference>
          <reference field="9" count="1" selected="0">
            <x v="9"/>
          </reference>
          <reference field="17" count="1" selected="0">
            <x v="37"/>
          </reference>
        </references>
      </pivotArea>
    </chartFormat>
    <chartFormat chart="0" format="4" series="1">
      <pivotArea type="data" outline="0" fieldPosition="0">
        <references count="3">
          <reference field="4294967294" count="1" selected="0">
            <x v="0"/>
          </reference>
          <reference field="9" count="1" selected="0">
            <x v="5"/>
          </reference>
          <reference field="17" count="1" selected="0">
            <x v="37"/>
          </reference>
        </references>
      </pivotArea>
    </chartFormat>
    <chartFormat chart="0" format="5" series="1">
      <pivotArea type="data" outline="0" fieldPosition="0">
        <references count="3">
          <reference field="4294967294" count="1" selected="0">
            <x v="0"/>
          </reference>
          <reference field="9" count="1" selected="0">
            <x v="4"/>
          </reference>
          <reference field="17" count="1" selected="0">
            <x v="37"/>
          </reference>
        </references>
      </pivotArea>
    </chartFormat>
    <chartFormat chart="0" format="6" series="1">
      <pivotArea type="data" outline="0" fieldPosition="0">
        <references count="3">
          <reference field="4294967294" count="1" selected="0">
            <x v="0"/>
          </reference>
          <reference field="9" count="1" selected="0">
            <x v="3"/>
          </reference>
          <reference field="17" count="1" selected="0">
            <x v="37"/>
          </reference>
        </references>
      </pivotArea>
    </chartFormat>
    <chartFormat chart="0" format="7" series="1">
      <pivotArea type="data" outline="0" fieldPosition="0">
        <references count="3">
          <reference field="4294967294" count="1" selected="0">
            <x v="0"/>
          </reference>
          <reference field="9" count="1" selected="0">
            <x v="2"/>
          </reference>
          <reference field="17" count="1" selected="0">
            <x v="37"/>
          </reference>
        </references>
      </pivotArea>
    </chartFormat>
    <chartFormat chart="0" format="8" series="1">
      <pivotArea type="data" outline="0" fieldPosition="0">
        <references count="3">
          <reference field="4294967294" count="1" selected="0">
            <x v="0"/>
          </reference>
          <reference field="9" count="1" selected="0">
            <x v="1"/>
          </reference>
          <reference field="17" count="1" selected="0">
            <x v="37"/>
          </reference>
        </references>
      </pivotArea>
    </chartFormat>
    <chartFormat chart="0" format="9" series="1">
      <pivotArea type="data" outline="0" fieldPosition="0">
        <references count="3">
          <reference field="4294967294" count="1" selected="0">
            <x v="0"/>
          </reference>
          <reference field="9" count="1" selected="0">
            <x v="16"/>
          </reference>
          <reference field="17" count="1" selected="0">
            <x v="39"/>
          </reference>
        </references>
      </pivotArea>
    </chartFormat>
    <chartFormat chart="0" format="10" series="1">
      <pivotArea type="data" outline="0" fieldPosition="0">
        <references count="3">
          <reference field="4294967294" count="1" selected="0">
            <x v="0"/>
          </reference>
          <reference field="9" count="1" selected="0">
            <x v="15"/>
          </reference>
          <reference field="17" count="1" selected="0">
            <x v="39"/>
          </reference>
        </references>
      </pivotArea>
    </chartFormat>
    <chartFormat chart="0" format="11" series="1">
      <pivotArea type="data" outline="0" fieldPosition="0">
        <references count="3">
          <reference field="4294967294" count="1" selected="0">
            <x v="0"/>
          </reference>
          <reference field="9" count="1" selected="0">
            <x v="14"/>
          </reference>
          <reference field="17" count="1" selected="0">
            <x v="39"/>
          </reference>
        </references>
      </pivotArea>
    </chartFormat>
    <chartFormat chart="0" format="12" series="1">
      <pivotArea type="data" outline="0" fieldPosition="0">
        <references count="3">
          <reference field="4294967294" count="1" selected="0">
            <x v="0"/>
          </reference>
          <reference field="9" count="1" selected="0">
            <x v="13"/>
          </reference>
          <reference field="17" count="1" selected="0">
            <x v="39"/>
          </reference>
        </references>
      </pivotArea>
    </chartFormat>
    <chartFormat chart="0" format="13" series="1">
      <pivotArea type="data" outline="0" fieldPosition="0">
        <references count="3">
          <reference field="4294967294" count="1" selected="0">
            <x v="0"/>
          </reference>
          <reference field="9" count="1" selected="0">
            <x v="12"/>
          </reference>
          <reference field="17" count="1" selected="0">
            <x v="39"/>
          </reference>
        </references>
      </pivotArea>
    </chartFormat>
    <chartFormat chart="0" format="14" series="1">
      <pivotArea type="data" outline="0" fieldPosition="0">
        <references count="3">
          <reference field="4294967294" count="1" selected="0">
            <x v="0"/>
          </reference>
          <reference field="9" count="1" selected="0">
            <x v="9"/>
          </reference>
          <reference field="17" count="1" selected="0">
            <x v="39"/>
          </reference>
        </references>
      </pivotArea>
    </chartFormat>
    <chartFormat chart="0" format="15" series="1">
      <pivotArea type="data" outline="0" fieldPosition="0">
        <references count="3">
          <reference field="4294967294" count="1" selected="0">
            <x v="0"/>
          </reference>
          <reference field="9" count="1" selected="0">
            <x v="5"/>
          </reference>
          <reference field="17" count="1" selected="0">
            <x v="39"/>
          </reference>
        </references>
      </pivotArea>
    </chartFormat>
    <chartFormat chart="0" format="16" series="1">
      <pivotArea type="data" outline="0" fieldPosition="0">
        <references count="3">
          <reference field="4294967294" count="1" selected="0">
            <x v="0"/>
          </reference>
          <reference field="9" count="1" selected="0">
            <x v="4"/>
          </reference>
          <reference field="17" count="1" selected="0">
            <x v="39"/>
          </reference>
        </references>
      </pivotArea>
    </chartFormat>
    <chartFormat chart="0" format="17" series="1">
      <pivotArea type="data" outline="0" fieldPosition="0">
        <references count="3">
          <reference field="4294967294" count="1" selected="0">
            <x v="0"/>
          </reference>
          <reference field="9" count="1" selected="0">
            <x v="1"/>
          </reference>
          <reference field="17" count="1" selected="0">
            <x v="39"/>
          </reference>
        </references>
      </pivotArea>
    </chartFormat>
    <chartFormat chart="0" format="18" series="1">
      <pivotArea type="data" outline="0" fieldPosition="0">
        <references count="3">
          <reference field="4294967294" count="1" selected="0">
            <x v="0"/>
          </reference>
          <reference field="9" count="1" selected="0">
            <x v="23"/>
          </reference>
          <reference field="17" count="1" selected="0">
            <x v="40"/>
          </reference>
        </references>
      </pivotArea>
    </chartFormat>
    <chartFormat chart="0" format="19" series="1">
      <pivotArea type="data" outline="0" fieldPosition="0">
        <references count="3">
          <reference field="4294967294" count="1" selected="0">
            <x v="0"/>
          </reference>
          <reference field="9" count="1" selected="0">
            <x v="22"/>
          </reference>
          <reference field="17" count="1" selected="0">
            <x v="40"/>
          </reference>
        </references>
      </pivotArea>
    </chartFormat>
    <chartFormat chart="0" format="20" series="1">
      <pivotArea type="data" outline="0" fieldPosition="0">
        <references count="3">
          <reference field="4294967294" count="1" selected="0">
            <x v="0"/>
          </reference>
          <reference field="9" count="1" selected="0">
            <x v="18"/>
          </reference>
          <reference field="17" count="1" selected="0">
            <x v="40"/>
          </reference>
        </references>
      </pivotArea>
    </chartFormat>
    <chartFormat chart="0" format="21" series="1">
      <pivotArea type="data" outline="0" fieldPosition="0">
        <references count="3">
          <reference field="4294967294" count="1" selected="0">
            <x v="0"/>
          </reference>
          <reference field="9" count="1" selected="0">
            <x v="16"/>
          </reference>
          <reference field="17" count="1" selected="0">
            <x v="40"/>
          </reference>
        </references>
      </pivotArea>
    </chartFormat>
    <chartFormat chart="0" format="22" series="1">
      <pivotArea type="data" outline="0" fieldPosition="0">
        <references count="3">
          <reference field="4294967294" count="1" selected="0">
            <x v="0"/>
          </reference>
          <reference field="9" count="1" selected="0">
            <x v="15"/>
          </reference>
          <reference field="17" count="1" selected="0">
            <x v="40"/>
          </reference>
        </references>
      </pivotArea>
    </chartFormat>
    <chartFormat chart="0" format="23" series="1">
      <pivotArea type="data" outline="0" fieldPosition="0">
        <references count="3">
          <reference field="4294967294" count="1" selected="0">
            <x v="0"/>
          </reference>
          <reference field="9" count="1" selected="0">
            <x v="12"/>
          </reference>
          <reference field="17" count="1" selected="0">
            <x v="40"/>
          </reference>
        </references>
      </pivotArea>
    </chartFormat>
    <chartFormat chart="0" format="24" series="1">
      <pivotArea type="data" outline="0" fieldPosition="0">
        <references count="3">
          <reference field="4294967294" count="1" selected="0">
            <x v="0"/>
          </reference>
          <reference field="9" count="1" selected="0">
            <x v="11"/>
          </reference>
          <reference field="17" count="1" selected="0">
            <x v="40"/>
          </reference>
        </references>
      </pivotArea>
    </chartFormat>
    <chartFormat chart="0" format="25" series="1">
      <pivotArea type="data" outline="0" fieldPosition="0">
        <references count="3">
          <reference field="4294967294" count="1" selected="0">
            <x v="0"/>
          </reference>
          <reference field="9" count="1" selected="0">
            <x v="9"/>
          </reference>
          <reference field="17" count="1" selected="0">
            <x v="40"/>
          </reference>
        </references>
      </pivotArea>
    </chartFormat>
    <chartFormat chart="0" format="26" series="1">
      <pivotArea type="data" outline="0" fieldPosition="0">
        <references count="3">
          <reference field="4294967294" count="1" selected="0">
            <x v="0"/>
          </reference>
          <reference field="9" count="1" selected="0">
            <x v="7"/>
          </reference>
          <reference field="17" count="1" selected="0">
            <x v="40"/>
          </reference>
        </references>
      </pivotArea>
    </chartFormat>
    <chartFormat chart="0" format="27" series="1">
      <pivotArea type="data" outline="0" fieldPosition="0">
        <references count="2">
          <reference field="4294967294" count="1" selected="0">
            <x v="0"/>
          </reference>
          <reference field="9" count="1" selected="0">
            <x v="23"/>
          </reference>
        </references>
      </pivotArea>
    </chartFormat>
    <chartFormat chart="0" format="28" series="1">
      <pivotArea type="data" outline="0" fieldPosition="0">
        <references count="2">
          <reference field="4294967294" count="1" selected="0">
            <x v="0"/>
          </reference>
          <reference field="9" count="1" selected="0">
            <x v="22"/>
          </reference>
        </references>
      </pivotArea>
    </chartFormat>
    <chartFormat chart="0" format="29" series="1">
      <pivotArea type="data" outline="0" fieldPosition="0">
        <references count="2">
          <reference field="4294967294" count="1" selected="0">
            <x v="0"/>
          </reference>
          <reference field="9" count="1" selected="0">
            <x v="18"/>
          </reference>
        </references>
      </pivotArea>
    </chartFormat>
    <chartFormat chart="0" format="30" series="1">
      <pivotArea type="data" outline="0" fieldPosition="0">
        <references count="2">
          <reference field="4294967294" count="1" selected="0">
            <x v="0"/>
          </reference>
          <reference field="9" count="1" selected="0">
            <x v="16"/>
          </reference>
        </references>
      </pivotArea>
    </chartFormat>
    <chartFormat chart="0" format="31" series="1">
      <pivotArea type="data" outline="0" fieldPosition="0">
        <references count="2">
          <reference field="4294967294" count="1" selected="0">
            <x v="0"/>
          </reference>
          <reference field="9" count="1" selected="0">
            <x v="15"/>
          </reference>
        </references>
      </pivotArea>
    </chartFormat>
    <chartFormat chart="0" format="32" series="1">
      <pivotArea type="data" outline="0" fieldPosition="0">
        <references count="2">
          <reference field="4294967294" count="1" selected="0">
            <x v="0"/>
          </reference>
          <reference field="9" count="1" selected="0">
            <x v="14"/>
          </reference>
        </references>
      </pivotArea>
    </chartFormat>
    <chartFormat chart="0" format="33" series="1">
      <pivotArea type="data" outline="0" fieldPosition="0">
        <references count="2">
          <reference field="4294967294" count="1" selected="0">
            <x v="0"/>
          </reference>
          <reference field="9" count="1" selected="0">
            <x v="13"/>
          </reference>
        </references>
      </pivotArea>
    </chartFormat>
    <chartFormat chart="0" format="34" series="1">
      <pivotArea type="data" outline="0" fieldPosition="0">
        <references count="2">
          <reference field="4294967294" count="1" selected="0">
            <x v="0"/>
          </reference>
          <reference field="9" count="1" selected="0">
            <x v="12"/>
          </reference>
        </references>
      </pivotArea>
    </chartFormat>
    <chartFormat chart="0" format="35" series="1">
      <pivotArea type="data" outline="0" fieldPosition="0">
        <references count="2">
          <reference field="4294967294" count="1" selected="0">
            <x v="0"/>
          </reference>
          <reference field="9" count="1" selected="0">
            <x v="11"/>
          </reference>
        </references>
      </pivotArea>
    </chartFormat>
    <chartFormat chart="0" format="36" series="1">
      <pivotArea type="data" outline="0" fieldPosition="0">
        <references count="2">
          <reference field="4294967294" count="1" selected="0">
            <x v="0"/>
          </reference>
          <reference field="9" count="1" selected="0">
            <x v="9"/>
          </reference>
        </references>
      </pivotArea>
    </chartFormat>
    <chartFormat chart="0" format="37" series="1">
      <pivotArea type="data" outline="0" fieldPosition="0">
        <references count="2">
          <reference field="4294967294" count="1" selected="0">
            <x v="0"/>
          </reference>
          <reference field="9" count="1" selected="0">
            <x v="7"/>
          </reference>
        </references>
      </pivotArea>
    </chartFormat>
    <chartFormat chart="0" format="38" series="1">
      <pivotArea type="data" outline="0" fieldPosition="0">
        <references count="2">
          <reference field="4294967294" count="1" selected="0">
            <x v="0"/>
          </reference>
          <reference field="9" count="1" selected="0">
            <x v="5"/>
          </reference>
        </references>
      </pivotArea>
    </chartFormat>
    <chartFormat chart="0" format="39" series="1">
      <pivotArea type="data" outline="0" fieldPosition="0">
        <references count="2">
          <reference field="4294967294" count="1" selected="0">
            <x v="0"/>
          </reference>
          <reference field="9" count="1" selected="0">
            <x v="4"/>
          </reference>
        </references>
      </pivotArea>
    </chartFormat>
    <chartFormat chart="0" format="40" series="1">
      <pivotArea type="data" outline="0" fieldPosition="0">
        <references count="2">
          <reference field="4294967294" count="1" selected="0">
            <x v="0"/>
          </reference>
          <reference field="9" count="1" selected="0">
            <x v="3"/>
          </reference>
        </references>
      </pivotArea>
    </chartFormat>
    <chartFormat chart="0" format="41" series="1">
      <pivotArea type="data" outline="0" fieldPosition="0">
        <references count="2">
          <reference field="4294967294" count="1" selected="0">
            <x v="0"/>
          </reference>
          <reference field="9" count="1" selected="0">
            <x v="2"/>
          </reference>
        </references>
      </pivotArea>
    </chartFormat>
    <chartFormat chart="0" format="42" series="1">
      <pivotArea type="data" outline="0" fieldPosition="0">
        <references count="2">
          <reference field="4294967294" count="1" selected="0">
            <x v="0"/>
          </reference>
          <reference field="9" count="1" selected="0">
            <x v="1"/>
          </reference>
        </references>
      </pivotArea>
    </chartFormat>
    <chartFormat chart="0" format="43" series="1">
      <pivotArea type="data" outline="0" fieldPosition="0">
        <references count="1">
          <reference field="4294967294" count="1" selected="0">
            <x v="0"/>
          </reference>
        </references>
      </pivotArea>
    </chartFormat>
    <chartFormat chart="3" format="44" series="1">
      <pivotArea type="data" outline="0" fieldPosition="0">
        <references count="2">
          <reference field="4294967294" count="1" selected="0">
            <x v="0"/>
          </reference>
          <reference field="17" count="1" selected="0">
            <x v="40"/>
          </reference>
        </references>
      </pivotArea>
    </chartFormat>
    <chartFormat chart="3" format="45" series="1">
      <pivotArea type="data" outline="0" fieldPosition="0">
        <references count="2">
          <reference field="4294967294" count="1" selected="0">
            <x v="0"/>
          </reference>
          <reference field="17" count="1" selected="0">
            <x v="39"/>
          </reference>
        </references>
      </pivotArea>
    </chartFormat>
    <chartFormat chart="3" format="46" series="1">
      <pivotArea type="data" outline="0" fieldPosition="0">
        <references count="2">
          <reference field="4294967294" count="1" selected="0">
            <x v="0"/>
          </reference>
          <reference field="17" count="1" selected="0">
            <x v="37"/>
          </reference>
        </references>
      </pivotArea>
    </chartFormat>
    <chartFormat chart="4" format="47" series="1">
      <pivotArea type="data" outline="0" fieldPosition="0">
        <references count="2">
          <reference field="4294967294" count="1" selected="0">
            <x v="0"/>
          </reference>
          <reference field="17" count="1" selected="0">
            <x v="40"/>
          </reference>
        </references>
      </pivotArea>
    </chartFormat>
    <chartFormat chart="4" format="48" series="1">
      <pivotArea type="data" outline="0" fieldPosition="0">
        <references count="2">
          <reference field="4294967294" count="1" selected="0">
            <x v="0"/>
          </reference>
          <reference field="17" count="1" selected="0">
            <x v="39"/>
          </reference>
        </references>
      </pivotArea>
    </chartFormat>
    <chartFormat chart="4" format="49" series="1">
      <pivotArea type="data" outline="0" fieldPosition="0">
        <references count="2">
          <reference field="4294967294" count="1" selected="0">
            <x v="0"/>
          </reference>
          <reference field="17" count="1" selected="0">
            <x v="37"/>
          </reference>
        </references>
      </pivotArea>
    </chartFormat>
    <chartFormat chart="4" format="50" series="1">
      <pivotArea type="data" outline="0" fieldPosition="0">
        <references count="2">
          <reference field="4294967294" count="1" selected="0">
            <x v="0"/>
          </reference>
          <reference field="17" count="1" selected="0">
            <x v="36"/>
          </reference>
        </references>
      </pivotArea>
    </chartFormat>
    <chartFormat chart="0" format="44" series="1">
      <pivotArea type="data" outline="0" fieldPosition="0">
        <references count="2">
          <reference field="4294967294" count="1" selected="0">
            <x v="0"/>
          </reference>
          <reference field="17" count="1" selected="0">
            <x v="36"/>
          </reference>
        </references>
      </pivotArea>
    </chartFormat>
    <chartFormat chart="4" format="51" series="1">
      <pivotArea type="data" outline="0" fieldPosition="0">
        <references count="2">
          <reference field="4294967294" count="1" selected="0">
            <x v="0"/>
          </reference>
          <reference field="17" count="1" selected="0">
            <x v="35"/>
          </reference>
        </references>
      </pivotArea>
    </chartFormat>
    <chartFormat chart="0" format="45" series="1">
      <pivotArea type="data" outline="0" fieldPosition="0">
        <references count="2">
          <reference field="4294967294" count="1" selected="0">
            <x v="0"/>
          </reference>
          <reference field="17" count="1" selected="0">
            <x v="35"/>
          </reference>
        </references>
      </pivotArea>
    </chartFormat>
    <chartFormat chart="4" format="52" series="1">
      <pivotArea type="data" outline="0" fieldPosition="0">
        <references count="2">
          <reference field="4294967294" count="1" selected="0">
            <x v="0"/>
          </reference>
          <reference field="17" count="1" selected="0">
            <x v="33"/>
          </reference>
        </references>
      </pivotArea>
    </chartFormat>
    <chartFormat chart="4" format="53" series="1">
      <pivotArea type="data" outline="0" fieldPosition="0">
        <references count="2">
          <reference field="4294967294" count="1" selected="0">
            <x v="0"/>
          </reference>
          <reference field="17" count="1" selected="0">
            <x v="34"/>
          </reference>
        </references>
      </pivotArea>
    </chartFormat>
    <chartFormat chart="4" format="54" series="1">
      <pivotArea type="data" outline="0" fieldPosition="0">
        <references count="1">
          <reference field="4294967294" count="1" selected="0">
            <x v="0"/>
          </reference>
        </references>
      </pivotArea>
    </chartFormat>
    <chartFormat chart="0" format="46" series="1">
      <pivotArea type="data" outline="0" fieldPosition="0">
        <references count="2">
          <reference field="4294967294" count="1" selected="0">
            <x v="0"/>
          </reference>
          <reference field="17" count="1" selected="0">
            <x v="34"/>
          </reference>
        </references>
      </pivotArea>
    </chartFormat>
    <chartFormat chart="0" format="47" series="1">
      <pivotArea type="data" outline="0" fieldPosition="0">
        <references count="2">
          <reference field="4294967294" count="1" selected="0">
            <x v="0"/>
          </reference>
          <reference field="17" count="1" selected="0">
            <x v="33"/>
          </reference>
        </references>
      </pivotArea>
    </chartFormat>
    <chartFormat chart="0" format="48" series="1">
      <pivotArea type="data" outline="0" fieldPosition="0">
        <references count="2">
          <reference field="4294967294" count="1" selected="0">
            <x v="0"/>
          </reference>
          <reference field="17" count="1" selected="0">
            <x v="32"/>
          </reference>
        </references>
      </pivotArea>
    </chartFormat>
    <chartFormat chart="0" format="49" series="1">
      <pivotArea type="data" outline="0" fieldPosition="0">
        <references count="2">
          <reference field="4294967294" count="1" selected="0">
            <x v="0"/>
          </reference>
          <reference field="17" count="1" selected="0">
            <x v="31"/>
          </reference>
        </references>
      </pivotArea>
    </chartFormat>
    <chartFormat chart="0" format="50" series="1">
      <pivotArea type="data" outline="0" fieldPosition="0">
        <references count="2">
          <reference field="4294967294" count="1" selected="0">
            <x v="0"/>
          </reference>
          <reference field="17" count="1" selected="0">
            <x v="29"/>
          </reference>
        </references>
      </pivotArea>
    </chartFormat>
    <chartFormat chart="0" format="51" series="1">
      <pivotArea type="data" outline="0" fieldPosition="0">
        <references count="2">
          <reference field="4294967294" count="1" selected="0">
            <x v="0"/>
          </reference>
          <reference field="17" count="1" selected="0">
            <x v="30"/>
          </reference>
        </references>
      </pivotArea>
    </chartFormat>
    <chartFormat chart="4" format="55" series="1">
      <pivotArea type="data" outline="0" fieldPosition="0">
        <references count="2">
          <reference field="4294967294" count="1" selected="0">
            <x v="0"/>
          </reference>
          <reference field="17" count="1" selected="0">
            <x v="30"/>
          </reference>
        </references>
      </pivotArea>
    </chartFormat>
    <chartFormat chart="4" format="56" series="1">
      <pivotArea type="data" outline="0" fieldPosition="0">
        <references count="2">
          <reference field="4294967294" count="1" selected="0">
            <x v="0"/>
          </reference>
          <reference field="17" count="1" selected="0">
            <x v="31"/>
          </reference>
        </references>
      </pivotArea>
    </chartFormat>
    <chartFormat chart="4" format="57" series="1">
      <pivotArea type="data" outline="0" fieldPosition="0">
        <references count="2">
          <reference field="4294967294" count="1" selected="0">
            <x v="0"/>
          </reference>
          <reference field="17" count="1" selected="0">
            <x v="32"/>
          </reference>
        </references>
      </pivotArea>
    </chartFormat>
    <chartFormat chart="0" format="52" series="1">
      <pivotArea type="data" outline="0" fieldPosition="0">
        <references count="2">
          <reference field="4294967294" count="1" selected="0">
            <x v="0"/>
          </reference>
          <reference field="17" count="1" selected="0">
            <x v="28"/>
          </reference>
        </references>
      </pivotArea>
    </chartFormat>
    <chartFormat chart="0" format="53" series="1">
      <pivotArea type="data" outline="0" fieldPosition="0">
        <references count="2">
          <reference field="4294967294" count="1" selected="0">
            <x v="0"/>
          </reference>
          <reference field="17" count="1" selected="0">
            <x v="26"/>
          </reference>
        </references>
      </pivotArea>
    </chartFormat>
    <chartFormat chart="4" format="58" series="1">
      <pivotArea type="data" outline="0" fieldPosition="0">
        <references count="2">
          <reference field="4294967294" count="1" selected="0">
            <x v="0"/>
          </reference>
          <reference field="17" count="1" selected="0">
            <x v="26"/>
          </reference>
        </references>
      </pivotArea>
    </chartFormat>
    <chartFormat chart="4" format="59" series="1">
      <pivotArea type="data" outline="0" fieldPosition="0">
        <references count="2">
          <reference field="4294967294" count="1" selected="0">
            <x v="0"/>
          </reference>
          <reference field="17" count="1" selected="0">
            <x v="28"/>
          </reference>
        </references>
      </pivotArea>
    </chartFormat>
    <chartFormat chart="0" format="54" series="1">
      <pivotArea type="data" outline="0" fieldPosition="0">
        <references count="2">
          <reference field="4294967294" count="1" selected="0">
            <x v="0"/>
          </reference>
          <reference field="17" count="1" selected="0">
            <x v="25"/>
          </reference>
        </references>
      </pivotArea>
    </chartFormat>
    <chartFormat chart="0" format="55" series="1">
      <pivotArea type="data" outline="0" fieldPosition="0">
        <references count="2">
          <reference field="4294967294" count="1" selected="0">
            <x v="0"/>
          </reference>
          <reference field="17" count="1" selected="0">
            <x v="24"/>
          </reference>
        </references>
      </pivotArea>
    </chartFormat>
    <chartFormat chart="0" format="56" series="1">
      <pivotArea type="data" outline="0" fieldPosition="0">
        <references count="2">
          <reference field="4294967294" count="1" selected="0">
            <x v="0"/>
          </reference>
          <reference field="17" count="1" selected="0">
            <x v="23"/>
          </reference>
        </references>
      </pivotArea>
    </chartFormat>
    <chartFormat chart="0" format="57" series="1">
      <pivotArea type="data" outline="0" fieldPosition="0">
        <references count="2">
          <reference field="4294967294" count="1" selected="0">
            <x v="0"/>
          </reference>
          <reference field="17" count="1" selected="0">
            <x v="22"/>
          </reference>
        </references>
      </pivotArea>
    </chartFormat>
    <chartFormat chart="4" format="60" series="1">
      <pivotArea type="data" outline="0" fieldPosition="0">
        <references count="2">
          <reference field="4294967294" count="1" selected="0">
            <x v="0"/>
          </reference>
          <reference field="17" count="1" selected="0">
            <x v="22"/>
          </reference>
        </references>
      </pivotArea>
    </chartFormat>
    <chartFormat chart="0" format="58" series="1">
      <pivotArea type="data" outline="0" fieldPosition="0">
        <references count="2">
          <reference field="4294967294" count="1" selected="0">
            <x v="0"/>
          </reference>
          <reference field="17" count="1" selected="0">
            <x v="21"/>
          </reference>
        </references>
      </pivotArea>
    </chartFormat>
    <chartFormat chart="0" format="59" series="1">
      <pivotArea type="data" outline="0" fieldPosition="0">
        <references count="2">
          <reference field="4294967294" count="1" selected="0">
            <x v="0"/>
          </reference>
          <reference field="17" count="1" selected="0">
            <x v="19"/>
          </reference>
        </references>
      </pivotArea>
    </chartFormat>
    <chartFormat chart="0" format="60" series="1">
      <pivotArea type="data" outline="0" fieldPosition="0">
        <references count="2">
          <reference field="4294967294" count="1" selected="0">
            <x v="0"/>
          </reference>
          <reference field="17" count="1" selected="0">
            <x v="18"/>
          </reference>
        </references>
      </pivotArea>
    </chartFormat>
    <chartFormat chart="0" format="61" series="1">
      <pivotArea type="data" outline="0" fieldPosition="0">
        <references count="2">
          <reference field="4294967294" count="1" selected="0">
            <x v="0"/>
          </reference>
          <reference field="17" count="1" selected="0">
            <x v="15"/>
          </reference>
        </references>
      </pivotArea>
    </chartFormat>
    <chartFormat chart="0" format="62" series="1">
      <pivotArea type="data" outline="0" fieldPosition="0">
        <references count="2">
          <reference field="4294967294" count="1" selected="0">
            <x v="0"/>
          </reference>
          <reference field="17" count="1" selected="0">
            <x v="14"/>
          </reference>
        </references>
      </pivotArea>
    </chartFormat>
    <chartFormat chart="0" format="63" series="1">
      <pivotArea type="data" outline="0" fieldPosition="0">
        <references count="2">
          <reference field="4294967294" count="1" selected="0">
            <x v="0"/>
          </reference>
          <reference field="17" count="1" selected="0">
            <x v="13"/>
          </reference>
        </references>
      </pivotArea>
    </chartFormat>
    <chartFormat chart="0" format="64" series="1">
      <pivotArea type="data" outline="0" fieldPosition="0">
        <references count="2">
          <reference field="4294967294" count="1" selected="0">
            <x v="0"/>
          </reference>
          <reference field="17" count="1" selected="0">
            <x v="12"/>
          </reference>
        </references>
      </pivotArea>
    </chartFormat>
    <chartFormat chart="0" format="65" series="1">
      <pivotArea type="data" outline="0" fieldPosition="0">
        <references count="2">
          <reference field="4294967294" count="1" selected="0">
            <x v="0"/>
          </reference>
          <reference field="17" count="1" selected="0">
            <x v="11"/>
          </reference>
        </references>
      </pivotArea>
    </chartFormat>
    <chartFormat chart="0" format="66" series="1">
      <pivotArea type="data" outline="0" fieldPosition="0">
        <references count="2">
          <reference field="4294967294" count="1" selected="0">
            <x v="0"/>
          </reference>
          <reference field="17" count="1" selected="0">
            <x v="10"/>
          </reference>
        </references>
      </pivotArea>
    </chartFormat>
    <chartFormat chart="0" format="67" series="1">
      <pivotArea type="data" outline="0" fieldPosition="0">
        <references count="2">
          <reference field="4294967294" count="1" selected="0">
            <x v="0"/>
          </reference>
          <reference field="17" count="1" selected="0">
            <x v="9"/>
          </reference>
        </references>
      </pivotArea>
    </chartFormat>
    <chartFormat chart="4" format="61" series="1">
      <pivotArea type="data" outline="0" fieldPosition="0">
        <references count="2">
          <reference field="4294967294" count="1" selected="0">
            <x v="0"/>
          </reference>
          <reference field="17" count="1" selected="0">
            <x v="9"/>
          </reference>
        </references>
      </pivotArea>
    </chartFormat>
    <chartFormat chart="0" format="68" series="1">
      <pivotArea type="data" outline="0" fieldPosition="0">
        <references count="2">
          <reference field="4294967294" count="1" selected="0">
            <x v="0"/>
          </reference>
          <reference field="17" count="1" selected="0">
            <x v="8"/>
          </reference>
        </references>
      </pivotArea>
    </chartFormat>
    <chartFormat chart="0" format="69" series="1">
      <pivotArea type="data" outline="0" fieldPosition="0">
        <references count="2">
          <reference field="4294967294" count="1" selected="0">
            <x v="0"/>
          </reference>
          <reference field="17" count="1" selected="0">
            <x v="7"/>
          </reference>
        </references>
      </pivotArea>
    </chartFormat>
    <chartFormat chart="0" format="70" series="1">
      <pivotArea type="data" outline="0" fieldPosition="0">
        <references count="2">
          <reference field="4294967294" count="1" selected="0">
            <x v="0"/>
          </reference>
          <reference field="17" count="1" selected="0">
            <x v="27"/>
          </reference>
        </references>
      </pivotArea>
    </chartFormat>
    <chartFormat chart="0" format="71" series="1">
      <pivotArea type="data" outline="0" fieldPosition="0">
        <references count="2">
          <reference field="4294967294" count="1" selected="0">
            <x v="0"/>
          </reference>
          <reference field="17" count="1" selected="0">
            <x v="38"/>
          </reference>
        </references>
      </pivotArea>
    </chartFormat>
    <chartFormat chart="0" format="72" series="1">
      <pivotArea type="data" outline="0" fieldPosition="0">
        <references count="2">
          <reference field="4294967294" count="1" selected="0">
            <x v="0"/>
          </reference>
          <reference field="17" count="1" selected="0">
            <x v="49"/>
          </reference>
        </references>
      </pivotArea>
    </chartFormat>
    <chartFormat chart="0" format="73" series="1">
      <pivotArea type="data" outline="0" fieldPosition="0">
        <references count="2">
          <reference field="4294967294" count="1" selected="0">
            <x v="0"/>
          </reference>
          <reference field="17" count="1" selected="0">
            <x v="50"/>
          </reference>
        </references>
      </pivotArea>
    </chartFormat>
    <chartFormat chart="4" format="62" series="1">
      <pivotArea type="data" outline="0" fieldPosition="0">
        <references count="2">
          <reference field="4294967294" count="1" selected="0">
            <x v="0"/>
          </reference>
          <reference field="17" count="1" selected="0">
            <x v="27"/>
          </reference>
        </references>
      </pivotArea>
    </chartFormat>
    <chartFormat chart="4" format="63" series="1">
      <pivotArea type="data" outline="0" fieldPosition="0">
        <references count="2">
          <reference field="4294967294" count="1" selected="0">
            <x v="0"/>
          </reference>
          <reference field="17" count="1" selected="0">
            <x v="38"/>
          </reference>
        </references>
      </pivotArea>
    </chartFormat>
    <chartFormat chart="4" format="64" series="1">
      <pivotArea type="data" outline="0" fieldPosition="0">
        <references count="2">
          <reference field="4294967294" count="1" selected="0">
            <x v="0"/>
          </reference>
          <reference field="17" count="1" selected="0">
            <x v="49"/>
          </reference>
        </references>
      </pivotArea>
    </chartFormat>
    <chartFormat chart="4" format="65" series="1">
      <pivotArea type="data" outline="0" fieldPosition="0">
        <references count="2">
          <reference field="4294967294" count="1" selected="0">
            <x v="0"/>
          </reference>
          <reference field="17" count="1" selected="0">
            <x v="50"/>
          </reference>
        </references>
      </pivotArea>
    </chartFormat>
    <chartFormat chart="0" format="74" series="1">
      <pivotArea type="data" outline="0" fieldPosition="0">
        <references count="2">
          <reference field="4294967294" count="1" selected="0">
            <x v="0"/>
          </reference>
          <reference field="17" count="1" selected="0">
            <x v="5"/>
          </reference>
        </references>
      </pivotArea>
    </chartFormat>
    <chartFormat chart="0" format="75" series="1">
      <pivotArea type="data" outline="0" fieldPosition="0">
        <references count="2">
          <reference field="4294967294" count="1" selected="0">
            <x v="0"/>
          </reference>
          <reference field="17" count="1" selected="0">
            <x v="2"/>
          </reference>
        </references>
      </pivotArea>
    </chartFormat>
    <chartFormat chart="0" format="76" series="1">
      <pivotArea type="data" outline="0" fieldPosition="0">
        <references count="2">
          <reference field="4294967294" count="1" selected="0">
            <x v="0"/>
          </reference>
          <reference field="17" count="1" selected="0">
            <x v="47"/>
          </reference>
        </references>
      </pivotArea>
    </chartFormat>
    <chartFormat chart="0" format="77" series="1">
      <pivotArea type="data" outline="0" fieldPosition="0">
        <references count="2">
          <reference field="4294967294" count="1" selected="0">
            <x v="0"/>
          </reference>
          <reference field="17" count="1" selected="0">
            <x v="43"/>
          </reference>
        </references>
      </pivotArea>
    </chartFormat>
    <chartFormat chart="0" format="78" series="1">
      <pivotArea type="data" outline="0" fieldPosition="0">
        <references count="2">
          <reference field="4294967294" count="1" selected="0">
            <x v="0"/>
          </reference>
          <reference field="17" count="1" selected="0">
            <x v="42"/>
          </reference>
        </references>
      </pivotArea>
    </chartFormat>
    <chartFormat chart="0" format="79" series="1">
      <pivotArea type="data" outline="0" fieldPosition="0">
        <references count="2">
          <reference field="4294967294" count="1" selected="0">
            <x v="0"/>
          </reference>
          <reference field="17" count="1" selected="0">
            <x v="3"/>
          </reference>
        </references>
      </pivotArea>
    </chartFormat>
    <chartFormat chart="0" format="80" series="1">
      <pivotArea type="data" outline="0" fieldPosition="0">
        <references count="2">
          <reference field="4294967294" count="1" selected="0">
            <x v="0"/>
          </reference>
          <reference field="17" count="1" selected="0">
            <x v="4"/>
          </reference>
        </references>
      </pivotArea>
    </chartFormat>
    <chartFormat chart="0" format="81" series="1">
      <pivotArea type="data" outline="0" fieldPosition="0">
        <references count="2">
          <reference field="4294967294" count="1" selected="0">
            <x v="0"/>
          </reference>
          <reference field="17" count="1" selected="0">
            <x v="16"/>
          </reference>
        </references>
      </pivotArea>
    </chartFormat>
    <chartFormat chart="0" format="82" series="1">
      <pivotArea type="data" outline="0" fieldPosition="0">
        <references count="2">
          <reference field="4294967294" count="1" selected="0">
            <x v="0"/>
          </reference>
          <reference field="17" count="1" selected="0">
            <x v="44"/>
          </reference>
        </references>
      </pivotArea>
    </chartFormat>
    <chartFormat chart="0" format="83" series="1">
      <pivotArea type="data" outline="0" fieldPosition="0">
        <references count="2">
          <reference field="4294967294" count="1" selected="0">
            <x v="0"/>
          </reference>
          <reference field="17" count="1" selected="0">
            <x v="45"/>
          </reference>
        </references>
      </pivotArea>
    </chartFormat>
    <chartFormat chart="0" format="84" series="1">
      <pivotArea type="data" outline="0" fieldPosition="0">
        <references count="2">
          <reference field="4294967294" count="1" selected="0">
            <x v="0"/>
          </reference>
          <reference field="17" count="1" selected="0">
            <x v="46"/>
          </reference>
        </references>
      </pivotArea>
    </chartFormat>
    <chartFormat chart="0" format="85" series="1">
      <pivotArea type="data" outline="0" fieldPosition="0">
        <references count="2">
          <reference field="4294967294" count="1" selected="0">
            <x v="0"/>
          </reference>
          <reference field="17" count="1" selected="0">
            <x v="48"/>
          </reference>
        </references>
      </pivotArea>
    </chartFormat>
    <chartFormat chart="4" format="66" series="1">
      <pivotArea type="data" outline="0" fieldPosition="0">
        <references count="2">
          <reference field="4294967294" count="1" selected="0">
            <x v="0"/>
          </reference>
          <reference field="17" count="1" selected="0">
            <x v="2"/>
          </reference>
        </references>
      </pivotArea>
    </chartFormat>
    <chartFormat chart="4" format="67" series="1">
      <pivotArea type="data" outline="0" fieldPosition="0">
        <references count="2">
          <reference field="4294967294" count="1" selected="0">
            <x v="0"/>
          </reference>
          <reference field="17" count="1" selected="0">
            <x v="3"/>
          </reference>
        </references>
      </pivotArea>
    </chartFormat>
    <chartFormat chart="4" format="68" series="1">
      <pivotArea type="data" outline="0" fieldPosition="0">
        <references count="2">
          <reference field="4294967294" count="1" selected="0">
            <x v="0"/>
          </reference>
          <reference field="17" count="1" selected="0">
            <x v="4"/>
          </reference>
        </references>
      </pivotArea>
    </chartFormat>
    <chartFormat chart="4" format="69" series="1">
      <pivotArea type="data" outline="0" fieldPosition="0">
        <references count="2">
          <reference field="4294967294" count="1" selected="0">
            <x v="0"/>
          </reference>
          <reference field="17" count="1" selected="0">
            <x v="5"/>
          </reference>
        </references>
      </pivotArea>
    </chartFormat>
    <chartFormat chart="4" format="70" series="1">
      <pivotArea type="data" outline="0" fieldPosition="0">
        <references count="2">
          <reference field="4294967294" count="1" selected="0">
            <x v="0"/>
          </reference>
          <reference field="17" count="1" selected="0">
            <x v="16"/>
          </reference>
        </references>
      </pivotArea>
    </chartFormat>
    <chartFormat chart="4" format="71" series="1">
      <pivotArea type="data" outline="0" fieldPosition="0">
        <references count="2">
          <reference field="4294967294" count="1" selected="0">
            <x v="0"/>
          </reference>
          <reference field="17" count="1" selected="0">
            <x v="42"/>
          </reference>
        </references>
      </pivotArea>
    </chartFormat>
    <chartFormat chart="4" format="72" series="1">
      <pivotArea type="data" outline="0" fieldPosition="0">
        <references count="2">
          <reference field="4294967294" count="1" selected="0">
            <x v="0"/>
          </reference>
          <reference field="17" count="1" selected="0">
            <x v="43"/>
          </reference>
        </references>
      </pivotArea>
    </chartFormat>
    <chartFormat chart="4" format="73" series="1">
      <pivotArea type="data" outline="0" fieldPosition="0">
        <references count="2">
          <reference field="4294967294" count="1" selected="0">
            <x v="0"/>
          </reference>
          <reference field="17" count="1" selected="0">
            <x v="44"/>
          </reference>
        </references>
      </pivotArea>
    </chartFormat>
    <chartFormat chart="4" format="74" series="1">
      <pivotArea type="data" outline="0" fieldPosition="0">
        <references count="2">
          <reference field="4294967294" count="1" selected="0">
            <x v="0"/>
          </reference>
          <reference field="17" count="1" selected="0">
            <x v="45"/>
          </reference>
        </references>
      </pivotArea>
    </chartFormat>
    <chartFormat chart="4" format="75" series="1">
      <pivotArea type="data" outline="0" fieldPosition="0">
        <references count="2">
          <reference field="4294967294" count="1" selected="0">
            <x v="0"/>
          </reference>
          <reference field="17" count="1" selected="0">
            <x v="46"/>
          </reference>
        </references>
      </pivotArea>
    </chartFormat>
    <chartFormat chart="4" format="76" series="1">
      <pivotArea type="data" outline="0" fieldPosition="0">
        <references count="2">
          <reference field="4294967294" count="1" selected="0">
            <x v="0"/>
          </reference>
          <reference field="17" count="1" selected="0">
            <x v="47"/>
          </reference>
        </references>
      </pivotArea>
    </chartFormat>
    <chartFormat chart="4" format="77" series="1">
      <pivotArea type="data" outline="0" fieldPosition="0">
        <references count="2">
          <reference field="4294967294" count="1" selected="0">
            <x v="0"/>
          </reference>
          <reference field="17" count="1" selected="0">
            <x v="48"/>
          </reference>
        </references>
      </pivotArea>
    </chartFormat>
    <chartFormat chart="0" format="86" series="1">
      <pivotArea type="data" outline="0" fieldPosition="0">
        <references count="2">
          <reference field="4294967294" count="1" selected="0">
            <x v="0"/>
          </reference>
          <reference field="17" count="1" selected="0">
            <x v="4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ivotTable3"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 colHeaderCaption="">
  <location ref="A3:H19" firstHeaderRow="1" firstDataRow="2" firstDataCol="1"/>
  <pivotFields count="18">
    <pivotField showAll="0"/>
    <pivotField numFmtId="14" showAll="0"/>
    <pivotField showAll="0"/>
    <pivotField showAll="0"/>
    <pivotField showAll="0"/>
    <pivotField showAll="0"/>
    <pivotField showAll="0"/>
    <pivotField showAll="0"/>
    <pivotField showAll="0"/>
    <pivotField axis="axisRow" showAll="0">
      <items count="26">
        <item m="1" x="22"/>
        <item m="1" x="17"/>
        <item m="1" x="19"/>
        <item x="3"/>
        <item m="1" x="20"/>
        <item x="12"/>
        <item x="1"/>
        <item m="1" x="16"/>
        <item m="1" x="23"/>
        <item x="6"/>
        <item m="1" x="14"/>
        <item m="1" x="24"/>
        <item x="9"/>
        <item x="2"/>
        <item x="0"/>
        <item x="5"/>
        <item m="1" x="21"/>
        <item m="1" x="18"/>
        <item m="1" x="15"/>
        <item x="7"/>
        <item x="4"/>
        <item x="8"/>
        <item x="13"/>
        <item x="10"/>
        <item x="11"/>
        <item t="default"/>
      </items>
    </pivotField>
    <pivotField showAll="0"/>
    <pivotField dataField="1" showAll="0"/>
    <pivotField showAll="0"/>
    <pivotField showAll="0"/>
    <pivotField showAll="0"/>
    <pivotField showAll="0"/>
    <pivotField axis="axisCol" showAll="0">
      <items count="15">
        <item x="3"/>
        <item x="4"/>
        <item m="1" x="7"/>
        <item m="1" x="13"/>
        <item m="1" x="8"/>
        <item m="1" x="10"/>
        <item m="1" x="9"/>
        <item m="1" x="11"/>
        <item m="1" x="6"/>
        <item m="1" x="12"/>
        <item x="0"/>
        <item x="5"/>
        <item x="1"/>
        <item x="2"/>
        <item t="default"/>
      </items>
    </pivotField>
    <pivotField showAll="0"/>
  </pivotFields>
  <rowFields count="1">
    <field x="9"/>
  </rowFields>
  <rowItems count="15">
    <i>
      <x v="3"/>
    </i>
    <i>
      <x v="5"/>
    </i>
    <i>
      <x v="6"/>
    </i>
    <i>
      <x v="9"/>
    </i>
    <i>
      <x v="12"/>
    </i>
    <i>
      <x v="13"/>
    </i>
    <i>
      <x v="14"/>
    </i>
    <i>
      <x v="15"/>
    </i>
    <i>
      <x v="19"/>
    </i>
    <i>
      <x v="20"/>
    </i>
    <i>
      <x v="21"/>
    </i>
    <i>
      <x v="22"/>
    </i>
    <i>
      <x v="23"/>
    </i>
    <i>
      <x v="24"/>
    </i>
    <i t="grand">
      <x/>
    </i>
  </rowItems>
  <colFields count="1">
    <field x="16"/>
  </colFields>
  <colItems count="7">
    <i>
      <x/>
    </i>
    <i>
      <x v="1"/>
    </i>
    <i>
      <x v="10"/>
    </i>
    <i>
      <x v="11"/>
    </i>
    <i>
      <x v="12"/>
    </i>
    <i>
      <x v="13"/>
    </i>
    <i t="grand">
      <x/>
    </i>
  </colItems>
  <dataFields count="1">
    <dataField name="Count of Observations" fld="1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PivotTable4"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5" rowHeaderCaption="" colHeaderCaption="">
  <location ref="A3:B5" firstHeaderRow="1" firstDataRow="2" firstDataCol="1" rowPageCount="1" colPageCount="1"/>
  <pivotFields count="18">
    <pivotField showAll="0"/>
    <pivotField numFmtId="14" showAll="0"/>
    <pivotField showAll="0"/>
    <pivotField showAll="0"/>
    <pivotField showAll="0"/>
    <pivotField showAll="0"/>
    <pivotField showAll="0"/>
    <pivotField showAll="0"/>
    <pivotField showAll="0"/>
    <pivotField axis="axisRow" showAll="0" sortType="descending">
      <items count="26">
        <item x="13"/>
        <item x="5"/>
        <item x="0"/>
        <item x="2"/>
        <item x="9"/>
        <item m="1" x="24"/>
        <item x="7"/>
        <item m="1" x="14"/>
        <item x="8"/>
        <item x="6"/>
        <item x="10"/>
        <item m="1" x="23"/>
        <item m="1" x="16"/>
        <item x="1"/>
        <item x="12"/>
        <item m="1" x="20"/>
        <item x="3"/>
        <item m="1" x="21"/>
        <item m="1" x="19"/>
        <item x="4"/>
        <item m="1" x="18"/>
        <item m="1" x="15"/>
        <item m="1" x="17"/>
        <item m="1" x="22"/>
        <item x="11"/>
        <item t="default"/>
      </items>
    </pivotField>
    <pivotField showAll="0"/>
    <pivotField dataField="1" showAll="0"/>
    <pivotField showAll="0"/>
    <pivotField axis="axisPage" multipleItemSelectionAllowed="1" showAll="0">
      <items count="51">
        <item h="1" x="17"/>
        <item h="1" m="1" x="27"/>
        <item m="1" x="28"/>
        <item h="1" m="1" x="30"/>
        <item h="1" m="1" x="32"/>
        <item h="1" m="1" x="34"/>
        <item h="1" m="1" x="36"/>
        <item h="1" m="1" x="38"/>
        <item h="1" m="1" x="40"/>
        <item h="1" m="1" x="42"/>
        <item h="1" m="1" x="44"/>
        <item h="1" m="1" x="46"/>
        <item h="1" m="1" x="47"/>
        <item h="1" m="1" x="48"/>
        <item h="1" m="1" x="49"/>
        <item h="1" m="1" x="29"/>
        <item h="1" m="1" x="19"/>
        <item h="1" m="1" x="31"/>
        <item h="1" m="1" x="20"/>
        <item h="1" m="1" x="33"/>
        <item h="1" m="1" x="21"/>
        <item h="1" m="1" x="35"/>
        <item h="1" m="1" x="22"/>
        <item h="1" m="1" x="37"/>
        <item h="1" m="1" x="23"/>
        <item h="1" m="1" x="39"/>
        <item h="1" m="1" x="24"/>
        <item h="1" m="1" x="41"/>
        <item h="1" m="1" x="25"/>
        <item h="1" m="1" x="43"/>
        <item h="1" m="1" x="26"/>
        <item h="1" m="1" x="45"/>
        <item h="1" x="0"/>
        <item h="1" x="1"/>
        <item h="1" x="2"/>
        <item h="1" x="3"/>
        <item h="1" x="18"/>
        <item h="1" x="4"/>
        <item h="1" x="5"/>
        <item h="1" x="6"/>
        <item h="1" x="7"/>
        <item h="1" x="8"/>
        <item h="1" x="9"/>
        <item h="1" x="10"/>
        <item h="1" x="11"/>
        <item h="1" x="12"/>
        <item h="1" x="13"/>
        <item h="1" x="14"/>
        <item h="1" x="15"/>
        <item h="1" x="16"/>
        <item t="default"/>
      </items>
    </pivotField>
    <pivotField showAll="0"/>
    <pivotField axis="axisCol" showAll="0">
      <items count="4">
        <item x="1"/>
        <item x="0"/>
        <item m="1" x="2"/>
        <item t="default"/>
      </items>
    </pivotField>
    <pivotField showAll="0"/>
    <pivotField showAll="0"/>
  </pivotFields>
  <rowFields count="1">
    <field x="9"/>
  </rowFields>
  <rowItems count="1">
    <i t="grand">
      <x/>
    </i>
  </rowItems>
  <colFields count="1">
    <field x="15"/>
  </colFields>
  <colItems count="1">
    <i t="grand">
      <x/>
    </i>
  </colItems>
  <pageFields count="1">
    <pageField fld="13" hier="-1"/>
  </pageFields>
  <dataFields count="1">
    <dataField name="Type of Feedback" fld="11" subtotal="count" baseField="0" baseItem="0"/>
  </dataFields>
  <chartFormats count="9">
    <chartFormat chart="0" format="0" series="1">
      <pivotArea type="data" outline="0" fieldPosition="0">
        <references count="2">
          <reference field="4294967294" count="1" selected="0">
            <x v="0"/>
          </reference>
          <reference field="15" count="1" selected="0">
            <x v="0"/>
          </reference>
        </references>
      </pivotArea>
    </chartFormat>
    <chartFormat chart="0" format="1" series="1">
      <pivotArea type="data" outline="0" fieldPosition="0">
        <references count="2">
          <reference field="4294967294" count="1" selected="0">
            <x v="0"/>
          </reference>
          <reference field="15" count="1" selected="0">
            <x v="1"/>
          </reference>
        </references>
      </pivotArea>
    </chartFormat>
    <chartFormat chart="2" format="50" series="1">
      <pivotArea type="data" outline="0" fieldPosition="0">
        <references count="2">
          <reference field="4294967294" count="1" selected="0">
            <x v="0"/>
          </reference>
          <reference field="15" count="1" selected="0">
            <x v="0"/>
          </reference>
        </references>
      </pivotArea>
    </chartFormat>
    <chartFormat chart="2" format="51" series="1">
      <pivotArea type="data" outline="0" fieldPosition="0">
        <references count="2">
          <reference field="4294967294" count="1" selected="0">
            <x v="0"/>
          </reference>
          <reference field="15" count="1" selected="0">
            <x v="1"/>
          </reference>
        </references>
      </pivotArea>
    </chartFormat>
    <chartFormat chart="4" format="4" series="1">
      <pivotArea type="data" outline="0" fieldPosition="0">
        <references count="2">
          <reference field="4294967294" count="1" selected="0">
            <x v="0"/>
          </reference>
          <reference field="15" count="1" selected="0">
            <x v="0"/>
          </reference>
        </references>
      </pivotArea>
    </chartFormat>
    <chartFormat chart="4" format="5" series="1">
      <pivotArea type="data" outline="0" fieldPosition="0">
        <references count="2">
          <reference field="4294967294" count="1" selected="0">
            <x v="0"/>
          </reference>
          <reference field="15" count="1" selected="0">
            <x v="1"/>
          </reference>
        </references>
      </pivotArea>
    </chartFormat>
    <chartFormat chart="0" format="2"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9" series="1">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topLeftCell="A7" zoomScaleNormal="100" workbookViewId="0">
      <selection activeCell="X39" sqref="X39"/>
    </sheetView>
  </sheetViews>
  <sheetFormatPr baseColWidth="10" defaultColWidth="9.1640625" defaultRowHeight="15" x14ac:dyDescent="0.2"/>
  <cols>
    <col min="1" max="6" width="9.1640625" style="7" customWidth="1"/>
    <col min="7" max="16384" width="9.1640625" style="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topLeftCell="A17" zoomScale="85" zoomScaleNormal="85" workbookViewId="0">
      <selection activeCell="A27" sqref="A27"/>
    </sheetView>
  </sheetViews>
  <sheetFormatPr baseColWidth="10" defaultColWidth="8.83203125" defaultRowHeight="15" x14ac:dyDescent="0.2"/>
  <cols>
    <col min="1" max="1" width="41.83203125" bestFit="1" customWidth="1"/>
    <col min="2" max="2" width="16.33203125" bestFit="1" customWidth="1"/>
    <col min="3" max="3" width="18.1640625" bestFit="1" customWidth="1"/>
    <col min="4" max="5" width="11.33203125" bestFit="1" customWidth="1"/>
  </cols>
  <sheetData>
    <row r="1" spans="1:4" x14ac:dyDescent="0.2">
      <c r="A1" s="3" t="s">
        <v>0</v>
      </c>
      <c r="B1" t="s">
        <v>1</v>
      </c>
    </row>
    <row r="3" spans="1:4" x14ac:dyDescent="0.2">
      <c r="A3" s="3" t="s">
        <v>2</v>
      </c>
      <c r="B3" s="3" t="s">
        <v>3</v>
      </c>
    </row>
    <row r="4" spans="1:4" x14ac:dyDescent="0.2">
      <c r="A4" s="3" t="s">
        <v>4</v>
      </c>
      <c r="B4" t="s">
        <v>5</v>
      </c>
      <c r="C4" t="s">
        <v>6</v>
      </c>
      <c r="D4" t="s">
        <v>7</v>
      </c>
    </row>
    <row r="5" spans="1:4" x14ac:dyDescent="0.2">
      <c r="A5" s="4" t="s">
        <v>8</v>
      </c>
      <c r="B5">
        <v>24</v>
      </c>
      <c r="C5">
        <v>10</v>
      </c>
      <c r="D5">
        <v>34</v>
      </c>
    </row>
    <row r="6" spans="1:4" x14ac:dyDescent="0.2">
      <c r="A6" s="5" t="s">
        <v>9</v>
      </c>
      <c r="B6">
        <v>24</v>
      </c>
      <c r="C6">
        <v>10</v>
      </c>
      <c r="D6">
        <v>34</v>
      </c>
    </row>
    <row r="7" spans="1:4" x14ac:dyDescent="0.2">
      <c r="A7" s="6" t="s">
        <v>10</v>
      </c>
      <c r="B7">
        <v>24</v>
      </c>
      <c r="C7">
        <v>10</v>
      </c>
      <c r="D7">
        <v>34</v>
      </c>
    </row>
    <row r="8" spans="1:4" x14ac:dyDescent="0.2">
      <c r="A8" s="4" t="s">
        <v>11</v>
      </c>
      <c r="B8">
        <v>10</v>
      </c>
      <c r="C8">
        <v>4</v>
      </c>
      <c r="D8">
        <v>14</v>
      </c>
    </row>
    <row r="9" spans="1:4" x14ac:dyDescent="0.2">
      <c r="A9" s="5" t="s">
        <v>12</v>
      </c>
      <c r="B9">
        <v>10</v>
      </c>
      <c r="C9">
        <v>4</v>
      </c>
      <c r="D9">
        <v>14</v>
      </c>
    </row>
    <row r="10" spans="1:4" x14ac:dyDescent="0.2">
      <c r="A10" s="6" t="s">
        <v>13</v>
      </c>
      <c r="B10">
        <v>3</v>
      </c>
      <c r="C10">
        <v>2</v>
      </c>
      <c r="D10">
        <v>5</v>
      </c>
    </row>
    <row r="11" spans="1:4" x14ac:dyDescent="0.2">
      <c r="A11" s="6" t="s">
        <v>14</v>
      </c>
      <c r="B11">
        <v>3</v>
      </c>
      <c r="C11">
        <v>1</v>
      </c>
      <c r="D11">
        <v>4</v>
      </c>
    </row>
    <row r="12" spans="1:4" x14ac:dyDescent="0.2">
      <c r="A12" s="6" t="s">
        <v>15</v>
      </c>
      <c r="B12">
        <v>4</v>
      </c>
      <c r="C12">
        <v>1</v>
      </c>
      <c r="D12">
        <v>5</v>
      </c>
    </row>
    <row r="13" spans="1:4" x14ac:dyDescent="0.2">
      <c r="A13" s="4" t="s">
        <v>16</v>
      </c>
      <c r="B13">
        <v>23</v>
      </c>
      <c r="C13">
        <v>6</v>
      </c>
      <c r="D13">
        <v>29</v>
      </c>
    </row>
    <row r="14" spans="1:4" x14ac:dyDescent="0.2">
      <c r="A14" s="5" t="s">
        <v>17</v>
      </c>
      <c r="B14">
        <v>6</v>
      </c>
      <c r="C14">
        <v>2</v>
      </c>
      <c r="D14">
        <v>8</v>
      </c>
    </row>
    <row r="15" spans="1:4" x14ac:dyDescent="0.2">
      <c r="A15" s="6" t="s">
        <v>18</v>
      </c>
      <c r="B15">
        <v>6</v>
      </c>
      <c r="C15">
        <v>2</v>
      </c>
      <c r="D15">
        <v>8</v>
      </c>
    </row>
    <row r="16" spans="1:4" x14ac:dyDescent="0.2">
      <c r="A16" s="5" t="s">
        <v>19</v>
      </c>
      <c r="B16">
        <v>17</v>
      </c>
      <c r="C16">
        <v>4</v>
      </c>
      <c r="D16">
        <v>21</v>
      </c>
    </row>
    <row r="17" spans="1:4" x14ac:dyDescent="0.2">
      <c r="A17" s="6" t="s">
        <v>18</v>
      </c>
      <c r="B17">
        <v>17</v>
      </c>
      <c r="C17">
        <v>4</v>
      </c>
      <c r="D17">
        <v>21</v>
      </c>
    </row>
    <row r="18" spans="1:4" x14ac:dyDescent="0.2">
      <c r="A18" s="4" t="s">
        <v>20</v>
      </c>
      <c r="B18">
        <v>73</v>
      </c>
      <c r="C18">
        <v>12</v>
      </c>
      <c r="D18">
        <v>85</v>
      </c>
    </row>
    <row r="19" spans="1:4" x14ac:dyDescent="0.2">
      <c r="A19" s="5" t="s">
        <v>21</v>
      </c>
      <c r="B19">
        <v>53</v>
      </c>
      <c r="C19">
        <v>5</v>
      </c>
      <c r="D19">
        <v>58</v>
      </c>
    </row>
    <row r="20" spans="1:4" x14ac:dyDescent="0.2">
      <c r="A20" s="6" t="s">
        <v>22</v>
      </c>
      <c r="B20">
        <v>53</v>
      </c>
      <c r="C20">
        <v>5</v>
      </c>
      <c r="D20">
        <v>58</v>
      </c>
    </row>
    <row r="21" spans="1:4" x14ac:dyDescent="0.2">
      <c r="A21" s="5" t="s">
        <v>10</v>
      </c>
      <c r="B21">
        <v>20</v>
      </c>
      <c r="C21">
        <v>7</v>
      </c>
      <c r="D21">
        <v>27</v>
      </c>
    </row>
    <row r="22" spans="1:4" x14ac:dyDescent="0.2">
      <c r="A22" s="6" t="s">
        <v>23</v>
      </c>
      <c r="B22">
        <v>20</v>
      </c>
      <c r="C22">
        <v>7</v>
      </c>
      <c r="D22">
        <v>27</v>
      </c>
    </row>
    <row r="23" spans="1:4" x14ac:dyDescent="0.2">
      <c r="A23" s="4" t="s">
        <v>24</v>
      </c>
      <c r="B23">
        <v>35</v>
      </c>
      <c r="C23">
        <v>16</v>
      </c>
      <c r="D23">
        <v>51</v>
      </c>
    </row>
    <row r="24" spans="1:4" x14ac:dyDescent="0.2">
      <c r="A24" s="5" t="s">
        <v>25</v>
      </c>
      <c r="B24">
        <v>19</v>
      </c>
      <c r="C24">
        <v>6</v>
      </c>
      <c r="D24">
        <v>25</v>
      </c>
    </row>
    <row r="25" spans="1:4" x14ac:dyDescent="0.2">
      <c r="A25" s="6" t="s">
        <v>18</v>
      </c>
      <c r="B25">
        <v>19</v>
      </c>
      <c r="C25">
        <v>6</v>
      </c>
      <c r="D25">
        <v>25</v>
      </c>
    </row>
    <row r="26" spans="1:4" x14ac:dyDescent="0.2">
      <c r="A26" s="5" t="s">
        <v>10</v>
      </c>
      <c r="B26">
        <v>16</v>
      </c>
      <c r="C26">
        <v>10</v>
      </c>
      <c r="D26">
        <v>26</v>
      </c>
    </row>
    <row r="27" spans="1:4" x14ac:dyDescent="0.2">
      <c r="A27" s="6" t="s">
        <v>26</v>
      </c>
      <c r="B27">
        <v>16</v>
      </c>
      <c r="C27">
        <v>10</v>
      </c>
      <c r="D27">
        <v>26</v>
      </c>
    </row>
    <row r="28" spans="1:4" x14ac:dyDescent="0.2">
      <c r="A28" s="4" t="s">
        <v>18</v>
      </c>
    </row>
    <row r="29" spans="1:4" x14ac:dyDescent="0.2">
      <c r="A29" s="5" t="s">
        <v>18</v>
      </c>
    </row>
    <row r="30" spans="1:4" x14ac:dyDescent="0.2">
      <c r="A30" s="6" t="s">
        <v>18</v>
      </c>
    </row>
    <row r="31" spans="1:4" x14ac:dyDescent="0.2">
      <c r="A31" s="4" t="s">
        <v>7</v>
      </c>
      <c r="B31">
        <v>165</v>
      </c>
      <c r="C31">
        <v>48</v>
      </c>
      <c r="D31">
        <v>213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B5"/>
  <sheetViews>
    <sheetView topLeftCell="A4" workbookViewId="0">
      <selection activeCell="B6" sqref="B6"/>
    </sheetView>
  </sheetViews>
  <sheetFormatPr baseColWidth="10" defaultColWidth="8.83203125" defaultRowHeight="15" x14ac:dyDescent="0.2"/>
  <cols>
    <col min="1" max="1" width="21" bestFit="1" customWidth="1"/>
    <col min="2" max="3" width="11.33203125" bestFit="1" customWidth="1"/>
    <col min="4" max="9" width="7.6640625" bestFit="1" customWidth="1"/>
    <col min="10" max="16" width="8.6640625" bestFit="1" customWidth="1"/>
    <col min="17" max="17" width="7.6640625" bestFit="1" customWidth="1"/>
    <col min="18" max="18" width="11.33203125" bestFit="1" customWidth="1"/>
    <col min="19" max="19" width="10.33203125" bestFit="1" customWidth="1"/>
    <col min="20" max="20" width="15.83203125" bestFit="1" customWidth="1"/>
    <col min="21" max="21" width="13.6640625" bestFit="1" customWidth="1"/>
    <col min="22" max="22" width="10.5" bestFit="1" customWidth="1"/>
    <col min="23" max="23" width="12" bestFit="1" customWidth="1"/>
    <col min="24" max="24" width="10.5" bestFit="1" customWidth="1"/>
    <col min="25" max="25" width="15.6640625" bestFit="1" customWidth="1"/>
    <col min="26" max="26" width="10.5" bestFit="1" customWidth="1"/>
    <col min="27" max="27" width="13.6640625" bestFit="1" customWidth="1"/>
    <col min="28" max="28" width="9.6640625" bestFit="1" customWidth="1"/>
    <col min="29" max="29" width="15.33203125" bestFit="1" customWidth="1"/>
    <col min="30" max="30" width="9.83203125" bestFit="1" customWidth="1"/>
    <col min="31" max="31" width="13.6640625" bestFit="1" customWidth="1"/>
    <col min="32" max="32" width="11.33203125" bestFit="1" customWidth="1"/>
  </cols>
  <sheetData>
    <row r="3" spans="1:2" x14ac:dyDescent="0.2">
      <c r="A3" s="3" t="s">
        <v>27</v>
      </c>
      <c r="B3" s="3"/>
    </row>
    <row r="4" spans="1:2" x14ac:dyDescent="0.2">
      <c r="A4" s="3"/>
      <c r="B4" t="s">
        <v>7</v>
      </c>
    </row>
    <row r="5" spans="1:2" x14ac:dyDescent="0.2">
      <c r="A5" s="4" t="s">
        <v>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H19"/>
  <sheetViews>
    <sheetView workbookViewId="0">
      <selection activeCell="G20" sqref="G20"/>
    </sheetView>
  </sheetViews>
  <sheetFormatPr baseColWidth="10" defaultColWidth="8.83203125" defaultRowHeight="15" x14ac:dyDescent="0.2"/>
  <cols>
    <col min="1" max="1" width="21" bestFit="1" customWidth="1"/>
    <col min="2" max="2" width="5.33203125" bestFit="1" customWidth="1"/>
    <col min="3" max="3" width="4.83203125" bestFit="1" customWidth="1"/>
    <col min="4" max="4" width="7.6640625" bestFit="1" customWidth="1"/>
    <col min="5" max="5" width="1.5" bestFit="1" customWidth="1"/>
    <col min="6" max="6" width="8.83203125" bestFit="1" customWidth="1"/>
    <col min="7" max="7" width="6.5" bestFit="1" customWidth="1"/>
    <col min="8" max="8" width="11.33203125" bestFit="1" customWidth="1"/>
    <col min="9" max="9" width="10.5" bestFit="1" customWidth="1"/>
    <col min="10" max="10" width="10.1640625" bestFit="1" customWidth="1"/>
    <col min="11" max="11" width="11.33203125" bestFit="1" customWidth="1"/>
  </cols>
  <sheetData>
    <row r="3" spans="1:8" x14ac:dyDescent="0.2">
      <c r="A3" s="3" t="s">
        <v>27</v>
      </c>
      <c r="B3" s="3"/>
    </row>
    <row r="4" spans="1:8" x14ac:dyDescent="0.2">
      <c r="A4" s="3"/>
      <c r="B4" t="s">
        <v>28</v>
      </c>
      <c r="C4" t="s">
        <v>29</v>
      </c>
      <c r="D4" t="s">
        <v>30</v>
      </c>
      <c r="F4" t="s">
        <v>31</v>
      </c>
      <c r="G4" t="s">
        <v>32</v>
      </c>
      <c r="H4" t="s">
        <v>7</v>
      </c>
    </row>
    <row r="5" spans="1:8" x14ac:dyDescent="0.2">
      <c r="A5" s="4" t="s">
        <v>33</v>
      </c>
      <c r="B5">
        <v>11</v>
      </c>
      <c r="C5">
        <v>4</v>
      </c>
      <c r="D5">
        <v>9</v>
      </c>
      <c r="F5">
        <v>9</v>
      </c>
      <c r="G5">
        <v>16</v>
      </c>
      <c r="H5">
        <v>49</v>
      </c>
    </row>
    <row r="6" spans="1:8" x14ac:dyDescent="0.2">
      <c r="A6" s="4" t="s">
        <v>34</v>
      </c>
      <c r="B6">
        <v>2</v>
      </c>
      <c r="H6">
        <v>2</v>
      </c>
    </row>
    <row r="7" spans="1:8" x14ac:dyDescent="0.2">
      <c r="A7" s="4" t="s">
        <v>35</v>
      </c>
      <c r="B7">
        <v>3</v>
      </c>
      <c r="D7">
        <v>9</v>
      </c>
      <c r="F7">
        <v>3</v>
      </c>
      <c r="G7">
        <v>14</v>
      </c>
      <c r="H7">
        <v>29</v>
      </c>
    </row>
    <row r="8" spans="1:8" x14ac:dyDescent="0.2">
      <c r="A8" s="4" t="s">
        <v>36</v>
      </c>
      <c r="D8">
        <v>6</v>
      </c>
      <c r="H8">
        <v>6</v>
      </c>
    </row>
    <row r="9" spans="1:8" x14ac:dyDescent="0.2">
      <c r="A9" s="4" t="s">
        <v>37</v>
      </c>
      <c r="B9">
        <v>3</v>
      </c>
      <c r="F9">
        <v>3</v>
      </c>
      <c r="G9">
        <v>3</v>
      </c>
      <c r="H9">
        <v>9</v>
      </c>
    </row>
    <row r="10" spans="1:8" x14ac:dyDescent="0.2">
      <c r="A10" s="4" t="s">
        <v>38</v>
      </c>
      <c r="D10">
        <v>9</v>
      </c>
      <c r="F10">
        <v>3</v>
      </c>
      <c r="G10">
        <v>16</v>
      </c>
      <c r="H10">
        <v>28</v>
      </c>
    </row>
    <row r="11" spans="1:8" x14ac:dyDescent="0.2">
      <c r="A11" s="4" t="s">
        <v>39</v>
      </c>
      <c r="D11">
        <v>3</v>
      </c>
      <c r="H11">
        <v>3</v>
      </c>
    </row>
    <row r="12" spans="1:8" x14ac:dyDescent="0.2">
      <c r="A12" s="4" t="s">
        <v>40</v>
      </c>
      <c r="B12">
        <v>3</v>
      </c>
      <c r="D12">
        <v>6</v>
      </c>
      <c r="F12">
        <v>5</v>
      </c>
      <c r="G12">
        <v>3</v>
      </c>
      <c r="H12">
        <v>17</v>
      </c>
    </row>
    <row r="13" spans="1:8" x14ac:dyDescent="0.2">
      <c r="A13" s="4" t="s">
        <v>41</v>
      </c>
      <c r="B13">
        <v>3</v>
      </c>
      <c r="D13">
        <v>6</v>
      </c>
      <c r="F13">
        <v>6</v>
      </c>
      <c r="G13">
        <v>7</v>
      </c>
      <c r="H13">
        <v>22</v>
      </c>
    </row>
    <row r="14" spans="1:8" x14ac:dyDescent="0.2">
      <c r="A14" s="4" t="s">
        <v>42</v>
      </c>
      <c r="D14">
        <v>1</v>
      </c>
      <c r="H14">
        <v>1</v>
      </c>
    </row>
    <row r="15" spans="1:8" x14ac:dyDescent="0.2">
      <c r="A15" s="4" t="s">
        <v>43</v>
      </c>
      <c r="B15">
        <v>5</v>
      </c>
      <c r="D15">
        <v>8</v>
      </c>
      <c r="F15">
        <v>7</v>
      </c>
      <c r="G15">
        <v>10</v>
      </c>
      <c r="H15">
        <v>30</v>
      </c>
    </row>
    <row r="16" spans="1:8" x14ac:dyDescent="0.2">
      <c r="A16" s="4" t="s">
        <v>18</v>
      </c>
    </row>
    <row r="17" spans="1:8" x14ac:dyDescent="0.2">
      <c r="A17" s="4" t="s">
        <v>44</v>
      </c>
      <c r="B17">
        <v>4</v>
      </c>
      <c r="C17">
        <v>2</v>
      </c>
      <c r="F17">
        <v>3</v>
      </c>
      <c r="G17">
        <v>6</v>
      </c>
      <c r="H17">
        <v>15</v>
      </c>
    </row>
    <row r="18" spans="1:8" x14ac:dyDescent="0.2">
      <c r="A18" s="4" t="s">
        <v>45</v>
      </c>
      <c r="G18">
        <v>2</v>
      </c>
      <c r="H18">
        <v>2</v>
      </c>
    </row>
    <row r="19" spans="1:8" x14ac:dyDescent="0.2">
      <c r="A19" s="4" t="s">
        <v>7</v>
      </c>
      <c r="B19">
        <v>34</v>
      </c>
      <c r="C19">
        <v>6</v>
      </c>
      <c r="D19">
        <v>57</v>
      </c>
      <c r="F19">
        <v>39</v>
      </c>
      <c r="G19">
        <v>77</v>
      </c>
      <c r="H19">
        <v>213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5"/>
  <sheetViews>
    <sheetView workbookViewId="0">
      <selection activeCell="C8" sqref="C8"/>
    </sheetView>
  </sheetViews>
  <sheetFormatPr baseColWidth="10" defaultColWidth="8.83203125" defaultRowHeight="15" x14ac:dyDescent="0.2"/>
  <cols>
    <col min="1" max="1" width="16.5" bestFit="1" customWidth="1"/>
    <col min="2" max="2" width="17.83203125" bestFit="1" customWidth="1"/>
    <col min="3" max="3" width="18.1640625" bestFit="1" customWidth="1"/>
    <col min="4" max="5" width="11.33203125" bestFit="1" customWidth="1"/>
  </cols>
  <sheetData>
    <row r="1" spans="1:2" x14ac:dyDescent="0.2">
      <c r="A1" s="3" t="s">
        <v>46</v>
      </c>
      <c r="B1" t="s">
        <v>47</v>
      </c>
    </row>
    <row r="3" spans="1:2" x14ac:dyDescent="0.2">
      <c r="A3" s="3" t="s">
        <v>48</v>
      </c>
      <c r="B3" s="3"/>
    </row>
    <row r="4" spans="1:2" x14ac:dyDescent="0.2">
      <c r="A4" s="3"/>
      <c r="B4" t="s">
        <v>7</v>
      </c>
    </row>
    <row r="5" spans="1:2" x14ac:dyDescent="0.2">
      <c r="A5" s="4" t="s">
        <v>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R1061"/>
  <sheetViews>
    <sheetView tabSelected="1" topLeftCell="H1" zoomScale="110" zoomScaleNormal="110" workbookViewId="0">
      <pane ySplit="1" topLeftCell="A1026" activePane="bottomLeft" state="frozen"/>
      <selection pane="bottomLeft" activeCell="M1063" sqref="M1063"/>
    </sheetView>
  </sheetViews>
  <sheetFormatPr baseColWidth="10" defaultColWidth="8.83203125" defaultRowHeight="15" x14ac:dyDescent="0.2"/>
  <cols>
    <col min="1" max="1" width="11.6640625" style="11" bestFit="1" customWidth="1"/>
    <col min="2" max="2" width="10.83203125" bestFit="1" customWidth="1"/>
    <col min="3" max="3" width="9.6640625" bestFit="1" customWidth="1"/>
    <col min="4" max="4" width="21.1640625" bestFit="1" customWidth="1"/>
    <col min="5" max="5" width="35" bestFit="1" customWidth="1"/>
    <col min="6" max="6" width="39.33203125" bestFit="1" customWidth="1"/>
    <col min="7" max="7" width="35.6640625" bestFit="1" customWidth="1"/>
    <col min="8" max="8" width="21" bestFit="1" customWidth="1"/>
    <col min="9" max="9" width="27.83203125" bestFit="1" customWidth="1"/>
    <col min="10" max="10" width="19.83203125" bestFit="1" customWidth="1"/>
    <col min="11" max="11" width="31.5" bestFit="1" customWidth="1"/>
    <col min="12" max="12" width="48.5" bestFit="1" customWidth="1"/>
    <col min="13" max="13" width="27.5" style="8" customWidth="1"/>
    <col min="14" max="14" width="6.33203125" bestFit="1" customWidth="1"/>
    <col min="15" max="15" width="7" bestFit="1" customWidth="1"/>
    <col min="16" max="16" width="18" bestFit="1" customWidth="1"/>
    <col min="17" max="18" width="12.1640625" bestFit="1" customWidth="1"/>
  </cols>
  <sheetData>
    <row r="1" spans="1:18" ht="16" customHeight="1" x14ac:dyDescent="0.2">
      <c r="A1" s="10" t="s">
        <v>49</v>
      </c>
      <c r="B1" s="1" t="s">
        <v>50</v>
      </c>
      <c r="C1" s="1" t="s">
        <v>51</v>
      </c>
      <c r="D1" s="1" t="s">
        <v>52</v>
      </c>
      <c r="E1" s="1" t="s">
        <v>53</v>
      </c>
      <c r="F1" s="1" t="s">
        <v>54</v>
      </c>
      <c r="G1" s="1" t="s">
        <v>55</v>
      </c>
      <c r="H1" s="1" t="s">
        <v>56</v>
      </c>
      <c r="I1" s="1" t="s">
        <v>57</v>
      </c>
      <c r="J1" s="1" t="s">
        <v>58</v>
      </c>
      <c r="K1" s="1" t="s">
        <v>59</v>
      </c>
      <c r="L1" s="1" t="s">
        <v>60</v>
      </c>
      <c r="M1" s="9" t="s">
        <v>61</v>
      </c>
      <c r="N1" s="1" t="s">
        <v>46</v>
      </c>
      <c r="O1" s="1" t="s">
        <v>0</v>
      </c>
      <c r="P1" s="1" t="s">
        <v>62</v>
      </c>
      <c r="Q1" s="1" t="s">
        <v>63</v>
      </c>
      <c r="R1" s="1" t="s">
        <v>64</v>
      </c>
    </row>
    <row r="2" spans="1:18" x14ac:dyDescent="0.2">
      <c r="A2" s="11">
        <v>242902</v>
      </c>
      <c r="B2" s="2">
        <v>45294</v>
      </c>
      <c r="C2" t="s">
        <v>65</v>
      </c>
      <c r="D2" t="s">
        <v>66</v>
      </c>
      <c r="E2" t="s">
        <v>20</v>
      </c>
      <c r="F2" t="s">
        <v>21</v>
      </c>
      <c r="G2" t="s">
        <v>22</v>
      </c>
      <c r="H2" t="s">
        <v>67</v>
      </c>
      <c r="I2" t="s">
        <v>68</v>
      </c>
      <c r="J2" t="s">
        <v>37</v>
      </c>
      <c r="K2" t="s">
        <v>69</v>
      </c>
      <c r="L2" t="s">
        <v>70</v>
      </c>
      <c r="N2">
        <f t="shared" ref="N2:N65" si="0">IF(ISBLANK(B2)," ",WEEKNUM(B2))</f>
        <v>1</v>
      </c>
      <c r="O2">
        <f t="shared" ref="O2:O65" si="1">IF(ISBLANK(B2)," ",MONTH(B2))</f>
        <v>1</v>
      </c>
      <c r="P2" t="str">
        <f t="shared" ref="P2:P65" si="2">IF(ISNUMBER(SEARCH("provided",L2)),"Provided Guidance","Observed Better")</f>
        <v>Observed Better</v>
      </c>
      <c r="Q2" t="str">
        <f t="shared" ref="Q2:Q65" si="3">IF(O2=" "," ",TEXT(O2*29,"mmmm"))</f>
        <v>January</v>
      </c>
      <c r="R2" t="str">
        <f t="shared" ref="R2:R65" si="4">IF(N2=" "," ",_xlfn.CONCAT("Week ",+TEXT(N2,"0")))</f>
        <v>Week 1</v>
      </c>
    </row>
    <row r="3" spans="1:18" x14ac:dyDescent="0.2">
      <c r="A3" s="11">
        <v>242903</v>
      </c>
      <c r="B3" s="2">
        <v>45294</v>
      </c>
      <c r="C3" t="s">
        <v>65</v>
      </c>
      <c r="D3" t="s">
        <v>66</v>
      </c>
      <c r="E3" t="s">
        <v>16</v>
      </c>
      <c r="F3" t="s">
        <v>71</v>
      </c>
      <c r="H3" t="s">
        <v>67</v>
      </c>
      <c r="I3" t="s">
        <v>72</v>
      </c>
      <c r="J3" t="s">
        <v>37</v>
      </c>
      <c r="K3" t="s">
        <v>69</v>
      </c>
      <c r="L3" t="s">
        <v>70</v>
      </c>
      <c r="N3">
        <f t="shared" si="0"/>
        <v>1</v>
      </c>
      <c r="O3">
        <f t="shared" si="1"/>
        <v>1</v>
      </c>
      <c r="P3" t="str">
        <f t="shared" si="2"/>
        <v>Observed Better</v>
      </c>
      <c r="Q3" t="str">
        <f t="shared" si="3"/>
        <v>January</v>
      </c>
      <c r="R3" t="str">
        <f t="shared" si="4"/>
        <v>Week 1</v>
      </c>
    </row>
    <row r="4" spans="1:18" x14ac:dyDescent="0.2">
      <c r="A4" s="11">
        <v>242904</v>
      </c>
      <c r="B4" s="2">
        <v>45294</v>
      </c>
      <c r="C4" t="s">
        <v>65</v>
      </c>
      <c r="D4" t="s">
        <v>66</v>
      </c>
      <c r="E4" t="s">
        <v>20</v>
      </c>
      <c r="F4" t="s">
        <v>21</v>
      </c>
      <c r="G4" t="s">
        <v>73</v>
      </c>
      <c r="H4" t="s">
        <v>67</v>
      </c>
      <c r="I4" t="s">
        <v>74</v>
      </c>
      <c r="J4" t="s">
        <v>37</v>
      </c>
      <c r="K4" t="s">
        <v>69</v>
      </c>
      <c r="L4" t="s">
        <v>70</v>
      </c>
      <c r="N4">
        <f t="shared" si="0"/>
        <v>1</v>
      </c>
      <c r="O4">
        <f t="shared" si="1"/>
        <v>1</v>
      </c>
      <c r="P4" t="str">
        <f t="shared" si="2"/>
        <v>Observed Better</v>
      </c>
      <c r="Q4" t="str">
        <f t="shared" si="3"/>
        <v>January</v>
      </c>
      <c r="R4" t="str">
        <f t="shared" si="4"/>
        <v>Week 1</v>
      </c>
    </row>
    <row r="5" spans="1:18" ht="45" customHeight="1" x14ac:dyDescent="0.2">
      <c r="A5" s="11">
        <v>242911</v>
      </c>
      <c r="B5" s="2">
        <v>45296</v>
      </c>
      <c r="C5" t="s">
        <v>65</v>
      </c>
      <c r="D5" t="s">
        <v>66</v>
      </c>
      <c r="E5" t="s">
        <v>20</v>
      </c>
      <c r="F5" t="s">
        <v>21</v>
      </c>
      <c r="G5" t="s">
        <v>22</v>
      </c>
      <c r="H5" t="s">
        <v>67</v>
      </c>
      <c r="I5" t="s">
        <v>75</v>
      </c>
      <c r="J5" t="s">
        <v>40</v>
      </c>
      <c r="K5" t="s">
        <v>76</v>
      </c>
      <c r="L5" t="s">
        <v>77</v>
      </c>
      <c r="M5" s="8" t="s">
        <v>78</v>
      </c>
      <c r="N5">
        <f t="shared" si="0"/>
        <v>1</v>
      </c>
      <c r="O5">
        <f t="shared" si="1"/>
        <v>1</v>
      </c>
      <c r="P5" t="str">
        <f t="shared" si="2"/>
        <v>Provided Guidance</v>
      </c>
      <c r="Q5" t="str">
        <f t="shared" si="3"/>
        <v>January</v>
      </c>
      <c r="R5" t="str">
        <f t="shared" si="4"/>
        <v>Week 1</v>
      </c>
    </row>
    <row r="6" spans="1:18" x14ac:dyDescent="0.2">
      <c r="A6" s="11">
        <v>242912</v>
      </c>
      <c r="B6" s="2">
        <v>45296</v>
      </c>
      <c r="C6" t="s">
        <v>65</v>
      </c>
      <c r="D6" t="s">
        <v>66</v>
      </c>
      <c r="E6" t="s">
        <v>20</v>
      </c>
      <c r="F6" t="s">
        <v>21</v>
      </c>
      <c r="G6" t="s">
        <v>22</v>
      </c>
      <c r="H6" t="s">
        <v>67</v>
      </c>
      <c r="I6" t="s">
        <v>79</v>
      </c>
      <c r="J6" t="s">
        <v>40</v>
      </c>
      <c r="K6" t="s">
        <v>76</v>
      </c>
      <c r="L6" t="s">
        <v>77</v>
      </c>
      <c r="M6" t="s">
        <v>80</v>
      </c>
      <c r="N6">
        <f t="shared" si="0"/>
        <v>1</v>
      </c>
      <c r="O6">
        <f t="shared" si="1"/>
        <v>1</v>
      </c>
      <c r="P6" t="str">
        <f t="shared" si="2"/>
        <v>Provided Guidance</v>
      </c>
      <c r="Q6" t="str">
        <f t="shared" si="3"/>
        <v>January</v>
      </c>
      <c r="R6" t="str">
        <f t="shared" si="4"/>
        <v>Week 1</v>
      </c>
    </row>
    <row r="7" spans="1:18" x14ac:dyDescent="0.2">
      <c r="A7" s="11">
        <v>242913</v>
      </c>
      <c r="B7" s="2">
        <v>45296</v>
      </c>
      <c r="C7" t="s">
        <v>65</v>
      </c>
      <c r="D7" t="s">
        <v>66</v>
      </c>
      <c r="E7" t="s">
        <v>20</v>
      </c>
      <c r="F7" t="s">
        <v>21</v>
      </c>
      <c r="G7" t="s">
        <v>22</v>
      </c>
      <c r="H7" t="s">
        <v>67</v>
      </c>
      <c r="I7" t="s">
        <v>81</v>
      </c>
      <c r="J7" t="s">
        <v>40</v>
      </c>
      <c r="K7" t="s">
        <v>76</v>
      </c>
      <c r="L7" t="s">
        <v>70</v>
      </c>
      <c r="M7" t="s">
        <v>82</v>
      </c>
      <c r="N7">
        <f t="shared" si="0"/>
        <v>1</v>
      </c>
      <c r="O7">
        <f t="shared" si="1"/>
        <v>1</v>
      </c>
      <c r="P7" t="str">
        <f t="shared" si="2"/>
        <v>Observed Better</v>
      </c>
      <c r="Q7" t="str">
        <f t="shared" si="3"/>
        <v>January</v>
      </c>
      <c r="R7" t="str">
        <f t="shared" si="4"/>
        <v>Week 1</v>
      </c>
    </row>
    <row r="8" spans="1:18" x14ac:dyDescent="0.2">
      <c r="A8" s="11">
        <v>242914</v>
      </c>
      <c r="B8" s="2">
        <v>45296</v>
      </c>
      <c r="C8" t="s">
        <v>65</v>
      </c>
      <c r="D8" t="s">
        <v>66</v>
      </c>
      <c r="E8" t="s">
        <v>20</v>
      </c>
      <c r="F8" t="s">
        <v>21</v>
      </c>
      <c r="G8" t="s">
        <v>22</v>
      </c>
      <c r="H8" t="s">
        <v>67</v>
      </c>
      <c r="I8" t="s">
        <v>83</v>
      </c>
      <c r="J8" t="s">
        <v>40</v>
      </c>
      <c r="K8" t="s">
        <v>76</v>
      </c>
      <c r="L8" t="s">
        <v>70</v>
      </c>
      <c r="M8" t="s">
        <v>80</v>
      </c>
      <c r="N8">
        <f t="shared" si="0"/>
        <v>1</v>
      </c>
      <c r="O8">
        <f t="shared" si="1"/>
        <v>1</v>
      </c>
      <c r="P8" t="str">
        <f t="shared" si="2"/>
        <v>Observed Better</v>
      </c>
      <c r="Q8" t="str">
        <f t="shared" si="3"/>
        <v>January</v>
      </c>
      <c r="R8" t="str">
        <f t="shared" si="4"/>
        <v>Week 1</v>
      </c>
    </row>
    <row r="9" spans="1:18" x14ac:dyDescent="0.2">
      <c r="A9" s="11">
        <v>242915</v>
      </c>
      <c r="B9" s="2">
        <v>45296</v>
      </c>
      <c r="C9" t="s">
        <v>65</v>
      </c>
      <c r="D9" t="s">
        <v>66</v>
      </c>
      <c r="E9" t="s">
        <v>20</v>
      </c>
      <c r="F9" t="s">
        <v>21</v>
      </c>
      <c r="G9" t="s">
        <v>22</v>
      </c>
      <c r="H9" t="s">
        <v>67</v>
      </c>
      <c r="I9" t="s">
        <v>84</v>
      </c>
      <c r="J9" t="s">
        <v>40</v>
      </c>
      <c r="K9" t="s">
        <v>76</v>
      </c>
      <c r="L9" t="s">
        <v>77</v>
      </c>
      <c r="M9" t="s">
        <v>80</v>
      </c>
      <c r="N9">
        <f t="shared" si="0"/>
        <v>1</v>
      </c>
      <c r="O9">
        <f t="shared" si="1"/>
        <v>1</v>
      </c>
      <c r="P9" t="str">
        <f t="shared" si="2"/>
        <v>Provided Guidance</v>
      </c>
      <c r="Q9" t="str">
        <f t="shared" si="3"/>
        <v>January</v>
      </c>
      <c r="R9" t="str">
        <f t="shared" si="4"/>
        <v>Week 1</v>
      </c>
    </row>
    <row r="10" spans="1:18" x14ac:dyDescent="0.2">
      <c r="A10" s="11">
        <v>242916</v>
      </c>
      <c r="B10" s="2">
        <v>45296</v>
      </c>
      <c r="C10" t="s">
        <v>65</v>
      </c>
      <c r="D10" t="s">
        <v>66</v>
      </c>
      <c r="E10" t="s">
        <v>20</v>
      </c>
      <c r="F10" t="s">
        <v>21</v>
      </c>
      <c r="G10" t="s">
        <v>22</v>
      </c>
      <c r="H10" t="s">
        <v>67</v>
      </c>
      <c r="I10" t="s">
        <v>85</v>
      </c>
      <c r="J10" t="s">
        <v>40</v>
      </c>
      <c r="K10" t="s">
        <v>76</v>
      </c>
      <c r="L10" t="s">
        <v>77</v>
      </c>
      <c r="M10" t="s">
        <v>86</v>
      </c>
      <c r="N10">
        <f t="shared" si="0"/>
        <v>1</v>
      </c>
      <c r="O10">
        <f t="shared" si="1"/>
        <v>1</v>
      </c>
      <c r="P10" t="str">
        <f t="shared" si="2"/>
        <v>Provided Guidance</v>
      </c>
      <c r="Q10" t="str">
        <f t="shared" si="3"/>
        <v>January</v>
      </c>
      <c r="R10" t="str">
        <f t="shared" si="4"/>
        <v>Week 1</v>
      </c>
    </row>
    <row r="11" spans="1:18" x14ac:dyDescent="0.2">
      <c r="A11" s="11">
        <v>242917</v>
      </c>
      <c r="B11" s="2">
        <v>45296</v>
      </c>
      <c r="C11" t="s">
        <v>65</v>
      </c>
      <c r="D11" t="s">
        <v>66</v>
      </c>
      <c r="E11" t="s">
        <v>20</v>
      </c>
      <c r="F11" t="s">
        <v>21</v>
      </c>
      <c r="G11" t="s">
        <v>22</v>
      </c>
      <c r="H11" t="s">
        <v>67</v>
      </c>
      <c r="I11" t="s">
        <v>87</v>
      </c>
      <c r="J11" t="s">
        <v>40</v>
      </c>
      <c r="K11" t="s">
        <v>76</v>
      </c>
      <c r="L11" t="s">
        <v>77</v>
      </c>
      <c r="M11" t="s">
        <v>88</v>
      </c>
      <c r="N11">
        <f t="shared" si="0"/>
        <v>1</v>
      </c>
      <c r="O11">
        <f t="shared" si="1"/>
        <v>1</v>
      </c>
      <c r="P11" t="str">
        <f t="shared" si="2"/>
        <v>Provided Guidance</v>
      </c>
      <c r="Q11" t="str">
        <f t="shared" si="3"/>
        <v>January</v>
      </c>
      <c r="R11" t="str">
        <f t="shared" si="4"/>
        <v>Week 1</v>
      </c>
    </row>
    <row r="12" spans="1:18" x14ac:dyDescent="0.2">
      <c r="A12" s="11">
        <v>242918</v>
      </c>
      <c r="B12" s="2">
        <v>45296</v>
      </c>
      <c r="C12" t="s">
        <v>65</v>
      </c>
      <c r="D12" t="s">
        <v>66</v>
      </c>
      <c r="E12" t="s">
        <v>20</v>
      </c>
      <c r="F12" t="s">
        <v>21</v>
      </c>
      <c r="G12" t="s">
        <v>22</v>
      </c>
      <c r="H12" t="s">
        <v>67</v>
      </c>
      <c r="I12" t="s">
        <v>89</v>
      </c>
      <c r="J12" t="s">
        <v>40</v>
      </c>
      <c r="K12" t="s">
        <v>76</v>
      </c>
      <c r="L12" t="s">
        <v>77</v>
      </c>
      <c r="M12" t="s">
        <v>90</v>
      </c>
      <c r="N12">
        <f t="shared" si="0"/>
        <v>1</v>
      </c>
      <c r="O12">
        <f t="shared" si="1"/>
        <v>1</v>
      </c>
      <c r="P12" t="str">
        <f t="shared" si="2"/>
        <v>Provided Guidance</v>
      </c>
      <c r="Q12" t="str">
        <f t="shared" si="3"/>
        <v>January</v>
      </c>
      <c r="R12" t="str">
        <f t="shared" si="4"/>
        <v>Week 1</v>
      </c>
    </row>
    <row r="13" spans="1:18" x14ac:dyDescent="0.2">
      <c r="A13" s="11">
        <v>242919</v>
      </c>
      <c r="B13" s="2">
        <v>45296</v>
      </c>
      <c r="C13" t="s">
        <v>65</v>
      </c>
      <c r="D13" t="s">
        <v>66</v>
      </c>
      <c r="E13" t="s">
        <v>20</v>
      </c>
      <c r="F13" t="s">
        <v>21</v>
      </c>
      <c r="G13" t="s">
        <v>73</v>
      </c>
      <c r="H13" t="s">
        <v>67</v>
      </c>
      <c r="I13" t="s">
        <v>91</v>
      </c>
      <c r="J13" t="s">
        <v>41</v>
      </c>
      <c r="K13" t="s">
        <v>92</v>
      </c>
      <c r="L13" t="s">
        <v>77</v>
      </c>
      <c r="N13">
        <f t="shared" si="0"/>
        <v>1</v>
      </c>
      <c r="O13">
        <f t="shared" si="1"/>
        <v>1</v>
      </c>
      <c r="P13" t="str">
        <f t="shared" si="2"/>
        <v>Provided Guidance</v>
      </c>
      <c r="Q13" t="str">
        <f t="shared" si="3"/>
        <v>January</v>
      </c>
      <c r="R13" t="str">
        <f t="shared" si="4"/>
        <v>Week 1</v>
      </c>
    </row>
    <row r="14" spans="1:18" x14ac:dyDescent="0.2">
      <c r="A14" s="11">
        <v>242920</v>
      </c>
      <c r="B14" s="2">
        <v>45296</v>
      </c>
      <c r="C14" t="s">
        <v>65</v>
      </c>
      <c r="D14" t="s">
        <v>66</v>
      </c>
      <c r="E14" t="s">
        <v>16</v>
      </c>
      <c r="F14" t="s">
        <v>71</v>
      </c>
      <c r="H14" t="s">
        <v>67</v>
      </c>
      <c r="I14" t="s">
        <v>93</v>
      </c>
      <c r="J14" t="s">
        <v>41</v>
      </c>
      <c r="K14" t="s">
        <v>92</v>
      </c>
      <c r="L14" t="s">
        <v>77</v>
      </c>
      <c r="N14">
        <f t="shared" si="0"/>
        <v>1</v>
      </c>
      <c r="O14">
        <f t="shared" si="1"/>
        <v>1</v>
      </c>
      <c r="P14" t="str">
        <f t="shared" si="2"/>
        <v>Provided Guidance</v>
      </c>
      <c r="Q14" t="str">
        <f t="shared" si="3"/>
        <v>January</v>
      </c>
      <c r="R14" t="str">
        <f t="shared" si="4"/>
        <v>Week 1</v>
      </c>
    </row>
    <row r="15" spans="1:18" x14ac:dyDescent="0.2">
      <c r="A15" s="11">
        <v>242921</v>
      </c>
      <c r="B15" s="2">
        <v>45296</v>
      </c>
      <c r="C15" t="s">
        <v>65</v>
      </c>
      <c r="D15" t="s">
        <v>66</v>
      </c>
      <c r="E15" t="s">
        <v>16</v>
      </c>
      <c r="F15" t="s">
        <v>94</v>
      </c>
      <c r="H15" t="s">
        <v>67</v>
      </c>
      <c r="I15" t="s">
        <v>95</v>
      </c>
      <c r="J15" t="s">
        <v>41</v>
      </c>
      <c r="K15" t="s">
        <v>92</v>
      </c>
      <c r="L15" t="s">
        <v>77</v>
      </c>
      <c r="N15">
        <f t="shared" si="0"/>
        <v>1</v>
      </c>
      <c r="O15">
        <f t="shared" si="1"/>
        <v>1</v>
      </c>
      <c r="P15" t="str">
        <f t="shared" si="2"/>
        <v>Provided Guidance</v>
      </c>
      <c r="Q15" t="str">
        <f t="shared" si="3"/>
        <v>January</v>
      </c>
      <c r="R15" t="str">
        <f t="shared" si="4"/>
        <v>Week 1</v>
      </c>
    </row>
    <row r="16" spans="1:18" x14ac:dyDescent="0.2">
      <c r="A16" s="11">
        <v>242924</v>
      </c>
      <c r="B16" s="2">
        <v>45296</v>
      </c>
      <c r="C16" t="s">
        <v>65</v>
      </c>
      <c r="D16" t="s">
        <v>66</v>
      </c>
      <c r="E16" t="s">
        <v>16</v>
      </c>
      <c r="F16" t="s">
        <v>94</v>
      </c>
      <c r="H16" t="s">
        <v>67</v>
      </c>
      <c r="I16" t="s">
        <v>96</v>
      </c>
      <c r="J16" t="s">
        <v>38</v>
      </c>
      <c r="K16" t="s">
        <v>97</v>
      </c>
      <c r="L16" t="s">
        <v>70</v>
      </c>
      <c r="M16" t="s">
        <v>98</v>
      </c>
      <c r="N16">
        <f t="shared" si="0"/>
        <v>1</v>
      </c>
      <c r="O16">
        <f t="shared" si="1"/>
        <v>1</v>
      </c>
      <c r="P16" t="str">
        <f t="shared" si="2"/>
        <v>Observed Better</v>
      </c>
      <c r="Q16" t="str">
        <f t="shared" si="3"/>
        <v>January</v>
      </c>
      <c r="R16" t="str">
        <f t="shared" si="4"/>
        <v>Week 1</v>
      </c>
    </row>
    <row r="17" spans="1:18" x14ac:dyDescent="0.2">
      <c r="A17" s="11">
        <v>242925</v>
      </c>
      <c r="B17" s="2">
        <v>45296</v>
      </c>
      <c r="C17" t="s">
        <v>65</v>
      </c>
      <c r="D17" t="s">
        <v>66</v>
      </c>
      <c r="E17" t="s">
        <v>16</v>
      </c>
      <c r="F17" t="s">
        <v>94</v>
      </c>
      <c r="H17" t="s">
        <v>67</v>
      </c>
      <c r="I17" t="s">
        <v>99</v>
      </c>
      <c r="J17" t="s">
        <v>38</v>
      </c>
      <c r="K17" t="s">
        <v>97</v>
      </c>
      <c r="L17" t="s">
        <v>70</v>
      </c>
      <c r="M17" t="s">
        <v>100</v>
      </c>
      <c r="N17">
        <f t="shared" si="0"/>
        <v>1</v>
      </c>
      <c r="O17">
        <f t="shared" si="1"/>
        <v>1</v>
      </c>
      <c r="P17" t="str">
        <f t="shared" si="2"/>
        <v>Observed Better</v>
      </c>
      <c r="Q17" t="str">
        <f t="shared" si="3"/>
        <v>January</v>
      </c>
      <c r="R17" t="str">
        <f t="shared" si="4"/>
        <v>Week 1</v>
      </c>
    </row>
    <row r="18" spans="1:18" x14ac:dyDescent="0.2">
      <c r="A18" s="11">
        <v>242926</v>
      </c>
      <c r="B18" s="2">
        <v>45296</v>
      </c>
      <c r="C18" t="s">
        <v>65</v>
      </c>
      <c r="D18" t="s">
        <v>66</v>
      </c>
      <c r="E18" t="s">
        <v>16</v>
      </c>
      <c r="F18" t="s">
        <v>71</v>
      </c>
      <c r="H18" t="s">
        <v>67</v>
      </c>
      <c r="I18" t="s">
        <v>101</v>
      </c>
      <c r="J18" t="s">
        <v>38</v>
      </c>
      <c r="K18" t="s">
        <v>97</v>
      </c>
      <c r="L18" t="s">
        <v>70</v>
      </c>
      <c r="M18" t="s">
        <v>102</v>
      </c>
      <c r="N18">
        <f t="shared" si="0"/>
        <v>1</v>
      </c>
      <c r="O18">
        <f t="shared" si="1"/>
        <v>1</v>
      </c>
      <c r="P18" t="str">
        <f t="shared" si="2"/>
        <v>Observed Better</v>
      </c>
      <c r="Q18" t="str">
        <f t="shared" si="3"/>
        <v>January</v>
      </c>
      <c r="R18" t="str">
        <f t="shared" si="4"/>
        <v>Week 1</v>
      </c>
    </row>
    <row r="19" spans="1:18" x14ac:dyDescent="0.2">
      <c r="A19" s="11">
        <v>242927</v>
      </c>
      <c r="B19" s="2">
        <v>45296</v>
      </c>
      <c r="C19" t="s">
        <v>65</v>
      </c>
      <c r="D19" t="s">
        <v>66</v>
      </c>
      <c r="E19" t="s">
        <v>20</v>
      </c>
      <c r="F19" t="s">
        <v>21</v>
      </c>
      <c r="G19" t="s">
        <v>22</v>
      </c>
      <c r="H19" t="s">
        <v>67</v>
      </c>
      <c r="I19" t="s">
        <v>103</v>
      </c>
      <c r="J19" t="s">
        <v>38</v>
      </c>
      <c r="K19" t="s">
        <v>97</v>
      </c>
      <c r="L19" t="s">
        <v>70</v>
      </c>
      <c r="M19" t="s">
        <v>104</v>
      </c>
      <c r="N19">
        <f t="shared" si="0"/>
        <v>1</v>
      </c>
      <c r="O19">
        <f t="shared" si="1"/>
        <v>1</v>
      </c>
      <c r="P19" t="str">
        <f t="shared" si="2"/>
        <v>Observed Better</v>
      </c>
      <c r="Q19" t="str">
        <f t="shared" si="3"/>
        <v>January</v>
      </c>
      <c r="R19" t="str">
        <f t="shared" si="4"/>
        <v>Week 1</v>
      </c>
    </row>
    <row r="20" spans="1:18" x14ac:dyDescent="0.2">
      <c r="A20" s="11">
        <v>242928</v>
      </c>
      <c r="B20" s="2">
        <v>45296</v>
      </c>
      <c r="C20" t="s">
        <v>65</v>
      </c>
      <c r="D20" t="s">
        <v>66</v>
      </c>
      <c r="E20" t="s">
        <v>20</v>
      </c>
      <c r="F20" t="s">
        <v>21</v>
      </c>
      <c r="G20" t="s">
        <v>22</v>
      </c>
      <c r="H20" t="s">
        <v>67</v>
      </c>
      <c r="I20" t="s">
        <v>105</v>
      </c>
      <c r="J20" t="s">
        <v>38</v>
      </c>
      <c r="K20" t="s">
        <v>97</v>
      </c>
      <c r="L20" t="s">
        <v>70</v>
      </c>
      <c r="M20" t="s">
        <v>106</v>
      </c>
      <c r="N20">
        <f t="shared" si="0"/>
        <v>1</v>
      </c>
      <c r="O20">
        <f t="shared" si="1"/>
        <v>1</v>
      </c>
      <c r="P20" t="str">
        <f t="shared" si="2"/>
        <v>Observed Better</v>
      </c>
      <c r="Q20" t="str">
        <f t="shared" si="3"/>
        <v>January</v>
      </c>
      <c r="R20" t="str">
        <f t="shared" si="4"/>
        <v>Week 1</v>
      </c>
    </row>
    <row r="21" spans="1:18" x14ac:dyDescent="0.2">
      <c r="A21" s="11">
        <v>242929</v>
      </c>
      <c r="B21" s="2">
        <v>45296</v>
      </c>
      <c r="C21" t="s">
        <v>65</v>
      </c>
      <c r="D21" t="s">
        <v>66</v>
      </c>
      <c r="E21" t="s">
        <v>16</v>
      </c>
      <c r="F21" t="s">
        <v>71</v>
      </c>
      <c r="H21" t="s">
        <v>67</v>
      </c>
      <c r="I21" t="s">
        <v>107</v>
      </c>
      <c r="J21" t="s">
        <v>38</v>
      </c>
      <c r="K21" t="s">
        <v>97</v>
      </c>
      <c r="L21" t="s">
        <v>70</v>
      </c>
      <c r="M21" t="s">
        <v>108</v>
      </c>
      <c r="N21">
        <f t="shared" si="0"/>
        <v>1</v>
      </c>
      <c r="O21">
        <f t="shared" si="1"/>
        <v>1</v>
      </c>
      <c r="P21" t="str">
        <f t="shared" si="2"/>
        <v>Observed Better</v>
      </c>
      <c r="Q21" t="str">
        <f t="shared" si="3"/>
        <v>January</v>
      </c>
      <c r="R21" t="str">
        <f t="shared" si="4"/>
        <v>Week 1</v>
      </c>
    </row>
    <row r="22" spans="1:18" x14ac:dyDescent="0.2">
      <c r="A22" s="11">
        <v>242930</v>
      </c>
      <c r="B22" s="2">
        <v>45296</v>
      </c>
      <c r="C22" t="s">
        <v>65</v>
      </c>
      <c r="D22" t="s">
        <v>66</v>
      </c>
      <c r="E22" t="s">
        <v>16</v>
      </c>
      <c r="F22" t="s">
        <v>71</v>
      </c>
      <c r="H22" t="s">
        <v>67</v>
      </c>
      <c r="I22" t="s">
        <v>107</v>
      </c>
      <c r="J22" t="s">
        <v>38</v>
      </c>
      <c r="K22" t="s">
        <v>97</v>
      </c>
      <c r="L22" t="s">
        <v>70</v>
      </c>
      <c r="M22" t="s">
        <v>108</v>
      </c>
      <c r="N22">
        <f t="shared" si="0"/>
        <v>1</v>
      </c>
      <c r="O22">
        <f t="shared" si="1"/>
        <v>1</v>
      </c>
      <c r="P22" t="str">
        <f t="shared" si="2"/>
        <v>Observed Better</v>
      </c>
      <c r="Q22" t="str">
        <f t="shared" si="3"/>
        <v>January</v>
      </c>
      <c r="R22" t="str">
        <f t="shared" si="4"/>
        <v>Week 1</v>
      </c>
    </row>
    <row r="23" spans="1:18" x14ac:dyDescent="0.2">
      <c r="A23" s="11">
        <v>242931</v>
      </c>
      <c r="B23" s="2">
        <v>45296</v>
      </c>
      <c r="C23" t="s">
        <v>65</v>
      </c>
      <c r="D23" t="s">
        <v>66</v>
      </c>
      <c r="E23" t="s">
        <v>20</v>
      </c>
      <c r="F23" t="s">
        <v>21</v>
      </c>
      <c r="G23" t="s">
        <v>22</v>
      </c>
      <c r="H23" t="s">
        <v>67</v>
      </c>
      <c r="I23" t="s">
        <v>109</v>
      </c>
      <c r="J23" t="s">
        <v>110</v>
      </c>
      <c r="K23" t="s">
        <v>111</v>
      </c>
      <c r="L23" t="s">
        <v>70</v>
      </c>
      <c r="N23">
        <f t="shared" si="0"/>
        <v>1</v>
      </c>
      <c r="O23">
        <f t="shared" si="1"/>
        <v>1</v>
      </c>
      <c r="P23" t="str">
        <f t="shared" si="2"/>
        <v>Observed Better</v>
      </c>
      <c r="Q23" t="str">
        <f t="shared" si="3"/>
        <v>January</v>
      </c>
      <c r="R23" t="str">
        <f t="shared" si="4"/>
        <v>Week 1</v>
      </c>
    </row>
    <row r="24" spans="1:18" x14ac:dyDescent="0.2">
      <c r="A24" s="11">
        <v>242932</v>
      </c>
      <c r="B24" s="2">
        <v>45296</v>
      </c>
      <c r="C24" t="s">
        <v>65</v>
      </c>
      <c r="D24" t="s">
        <v>66</v>
      </c>
      <c r="E24" t="s">
        <v>20</v>
      </c>
      <c r="F24" t="s">
        <v>21</v>
      </c>
      <c r="G24" t="s">
        <v>22</v>
      </c>
      <c r="H24" t="s">
        <v>67</v>
      </c>
      <c r="I24" t="s">
        <v>112</v>
      </c>
      <c r="J24" t="s">
        <v>110</v>
      </c>
      <c r="K24" t="s">
        <v>111</v>
      </c>
      <c r="L24" t="s">
        <v>70</v>
      </c>
      <c r="N24">
        <f t="shared" si="0"/>
        <v>1</v>
      </c>
      <c r="O24">
        <f t="shared" si="1"/>
        <v>1</v>
      </c>
      <c r="P24" t="str">
        <f t="shared" si="2"/>
        <v>Observed Better</v>
      </c>
      <c r="Q24" t="str">
        <f t="shared" si="3"/>
        <v>January</v>
      </c>
      <c r="R24" t="str">
        <f t="shared" si="4"/>
        <v>Week 1</v>
      </c>
    </row>
    <row r="25" spans="1:18" x14ac:dyDescent="0.2">
      <c r="A25" s="11">
        <v>242933</v>
      </c>
      <c r="B25" s="2">
        <v>45296</v>
      </c>
      <c r="C25" t="s">
        <v>65</v>
      </c>
      <c r="D25" t="s">
        <v>66</v>
      </c>
      <c r="E25" t="s">
        <v>20</v>
      </c>
      <c r="F25" t="s">
        <v>21</v>
      </c>
      <c r="G25" t="s">
        <v>73</v>
      </c>
      <c r="H25" t="s">
        <v>67</v>
      </c>
      <c r="I25" t="s">
        <v>113</v>
      </c>
      <c r="J25" t="s">
        <v>110</v>
      </c>
      <c r="K25" t="s">
        <v>111</v>
      </c>
      <c r="L25" t="s">
        <v>70</v>
      </c>
      <c r="N25">
        <f t="shared" si="0"/>
        <v>1</v>
      </c>
      <c r="O25">
        <f t="shared" si="1"/>
        <v>1</v>
      </c>
      <c r="P25" t="str">
        <f t="shared" si="2"/>
        <v>Observed Better</v>
      </c>
      <c r="Q25" t="str">
        <f t="shared" si="3"/>
        <v>January</v>
      </c>
      <c r="R25" t="str">
        <f t="shared" si="4"/>
        <v>Week 1</v>
      </c>
    </row>
    <row r="26" spans="1:18" x14ac:dyDescent="0.2">
      <c r="A26" s="11">
        <v>242936</v>
      </c>
      <c r="B26" s="2">
        <v>45298</v>
      </c>
      <c r="C26" t="s">
        <v>65</v>
      </c>
      <c r="D26" t="s">
        <v>66</v>
      </c>
      <c r="E26" t="s">
        <v>20</v>
      </c>
      <c r="F26" t="s">
        <v>21</v>
      </c>
      <c r="G26" t="s">
        <v>22</v>
      </c>
      <c r="H26" t="s">
        <v>67</v>
      </c>
      <c r="I26" t="s">
        <v>114</v>
      </c>
      <c r="J26" t="s">
        <v>115</v>
      </c>
      <c r="K26" t="s">
        <v>116</v>
      </c>
      <c r="L26" t="s">
        <v>70</v>
      </c>
      <c r="N26">
        <f t="shared" si="0"/>
        <v>2</v>
      </c>
      <c r="O26">
        <f t="shared" si="1"/>
        <v>1</v>
      </c>
      <c r="P26" t="str">
        <f t="shared" si="2"/>
        <v>Observed Better</v>
      </c>
      <c r="Q26" t="str">
        <f t="shared" si="3"/>
        <v>January</v>
      </c>
      <c r="R26" t="str">
        <f t="shared" si="4"/>
        <v>Week 2</v>
      </c>
    </row>
    <row r="27" spans="1:18" x14ac:dyDescent="0.2">
      <c r="A27" s="11">
        <v>242937</v>
      </c>
      <c r="B27" s="2">
        <v>45298</v>
      </c>
      <c r="C27" t="s">
        <v>65</v>
      </c>
      <c r="D27" t="s">
        <v>66</v>
      </c>
      <c r="E27" t="s">
        <v>20</v>
      </c>
      <c r="F27" t="s">
        <v>21</v>
      </c>
      <c r="G27" t="s">
        <v>22</v>
      </c>
      <c r="H27" t="s">
        <v>67</v>
      </c>
      <c r="I27" t="s">
        <v>117</v>
      </c>
      <c r="J27" t="s">
        <v>115</v>
      </c>
      <c r="K27" t="s">
        <v>116</v>
      </c>
      <c r="L27" t="s">
        <v>70</v>
      </c>
      <c r="N27">
        <f t="shared" si="0"/>
        <v>2</v>
      </c>
      <c r="O27">
        <f t="shared" si="1"/>
        <v>1</v>
      </c>
      <c r="P27" t="str">
        <f t="shared" si="2"/>
        <v>Observed Better</v>
      </c>
      <c r="Q27" t="str">
        <f t="shared" si="3"/>
        <v>January</v>
      </c>
      <c r="R27" t="str">
        <f t="shared" si="4"/>
        <v>Week 2</v>
      </c>
    </row>
    <row r="28" spans="1:18" x14ac:dyDescent="0.2">
      <c r="A28" s="11">
        <v>242938</v>
      </c>
      <c r="B28" s="2">
        <v>45298</v>
      </c>
      <c r="C28" t="s">
        <v>65</v>
      </c>
      <c r="D28" t="s">
        <v>66</v>
      </c>
      <c r="E28" t="s">
        <v>20</v>
      </c>
      <c r="F28" t="s">
        <v>21</v>
      </c>
      <c r="G28" t="s">
        <v>22</v>
      </c>
      <c r="H28" t="s">
        <v>67</v>
      </c>
      <c r="I28" t="s">
        <v>118</v>
      </c>
      <c r="J28" t="s">
        <v>115</v>
      </c>
      <c r="K28" t="s">
        <v>116</v>
      </c>
      <c r="L28" t="s">
        <v>77</v>
      </c>
      <c r="N28">
        <f t="shared" si="0"/>
        <v>2</v>
      </c>
      <c r="O28">
        <f t="shared" si="1"/>
        <v>1</v>
      </c>
      <c r="P28" t="str">
        <f t="shared" si="2"/>
        <v>Provided Guidance</v>
      </c>
      <c r="Q28" t="str">
        <f t="shared" si="3"/>
        <v>January</v>
      </c>
      <c r="R28" t="str">
        <f t="shared" si="4"/>
        <v>Week 2</v>
      </c>
    </row>
    <row r="29" spans="1:18" x14ac:dyDescent="0.2">
      <c r="A29" s="11">
        <v>242945</v>
      </c>
      <c r="B29" s="2">
        <v>45299</v>
      </c>
      <c r="C29" t="s">
        <v>65</v>
      </c>
      <c r="D29" t="s">
        <v>66</v>
      </c>
      <c r="E29" t="s">
        <v>16</v>
      </c>
      <c r="F29" t="s">
        <v>94</v>
      </c>
      <c r="H29" t="s">
        <v>67</v>
      </c>
      <c r="I29" t="s">
        <v>119</v>
      </c>
      <c r="J29" t="s">
        <v>110</v>
      </c>
      <c r="K29" t="s">
        <v>111</v>
      </c>
      <c r="L29" t="s">
        <v>77</v>
      </c>
      <c r="N29">
        <f t="shared" si="0"/>
        <v>2</v>
      </c>
      <c r="O29">
        <f t="shared" si="1"/>
        <v>1</v>
      </c>
      <c r="P29" t="str">
        <f t="shared" si="2"/>
        <v>Provided Guidance</v>
      </c>
      <c r="Q29" t="str">
        <f t="shared" si="3"/>
        <v>January</v>
      </c>
      <c r="R29" t="str">
        <f t="shared" si="4"/>
        <v>Week 2</v>
      </c>
    </row>
    <row r="30" spans="1:18" x14ac:dyDescent="0.2">
      <c r="A30" s="11">
        <v>242946</v>
      </c>
      <c r="B30" s="2">
        <v>45300</v>
      </c>
      <c r="C30" t="s">
        <v>65</v>
      </c>
      <c r="D30" t="s">
        <v>66</v>
      </c>
      <c r="E30" t="s">
        <v>20</v>
      </c>
      <c r="F30" t="s">
        <v>21</v>
      </c>
      <c r="G30" t="s">
        <v>22</v>
      </c>
      <c r="H30" t="s">
        <v>67</v>
      </c>
      <c r="I30" t="s">
        <v>120</v>
      </c>
      <c r="J30" t="s">
        <v>37</v>
      </c>
      <c r="K30" t="s">
        <v>69</v>
      </c>
      <c r="L30" t="s">
        <v>70</v>
      </c>
      <c r="N30">
        <f t="shared" si="0"/>
        <v>2</v>
      </c>
      <c r="O30">
        <f t="shared" si="1"/>
        <v>1</v>
      </c>
      <c r="P30" t="str">
        <f t="shared" si="2"/>
        <v>Observed Better</v>
      </c>
      <c r="Q30" t="str">
        <f t="shared" si="3"/>
        <v>January</v>
      </c>
      <c r="R30" t="str">
        <f t="shared" si="4"/>
        <v>Week 2</v>
      </c>
    </row>
    <row r="31" spans="1:18" x14ac:dyDescent="0.2">
      <c r="A31" s="11">
        <v>242947</v>
      </c>
      <c r="B31" s="2">
        <v>45300</v>
      </c>
      <c r="C31" t="s">
        <v>65</v>
      </c>
      <c r="D31" t="s">
        <v>66</v>
      </c>
      <c r="E31" t="s">
        <v>16</v>
      </c>
      <c r="F31" t="s">
        <v>71</v>
      </c>
      <c r="H31" t="s">
        <v>67</v>
      </c>
      <c r="I31" t="s">
        <v>121</v>
      </c>
      <c r="J31" t="s">
        <v>37</v>
      </c>
      <c r="K31" t="s">
        <v>69</v>
      </c>
      <c r="L31" t="s">
        <v>70</v>
      </c>
      <c r="N31">
        <f t="shared" si="0"/>
        <v>2</v>
      </c>
      <c r="O31">
        <f t="shared" si="1"/>
        <v>1</v>
      </c>
      <c r="P31" t="str">
        <f t="shared" si="2"/>
        <v>Observed Better</v>
      </c>
      <c r="Q31" t="str">
        <f t="shared" si="3"/>
        <v>January</v>
      </c>
      <c r="R31" t="str">
        <f t="shared" si="4"/>
        <v>Week 2</v>
      </c>
    </row>
    <row r="32" spans="1:18" x14ac:dyDescent="0.2">
      <c r="A32" s="11">
        <v>242950</v>
      </c>
      <c r="B32" s="2">
        <v>45300</v>
      </c>
      <c r="C32" t="s">
        <v>65</v>
      </c>
      <c r="D32" t="s">
        <v>66</v>
      </c>
      <c r="E32" t="s">
        <v>20</v>
      </c>
      <c r="F32" t="s">
        <v>21</v>
      </c>
      <c r="G32" t="s">
        <v>22</v>
      </c>
      <c r="H32" t="s">
        <v>67</v>
      </c>
      <c r="I32" t="s">
        <v>122</v>
      </c>
      <c r="J32" t="s">
        <v>110</v>
      </c>
      <c r="K32" t="s">
        <v>111</v>
      </c>
      <c r="L32" t="s">
        <v>70</v>
      </c>
      <c r="N32">
        <f t="shared" si="0"/>
        <v>2</v>
      </c>
      <c r="O32">
        <f t="shared" si="1"/>
        <v>1</v>
      </c>
      <c r="P32" t="str">
        <f t="shared" si="2"/>
        <v>Observed Better</v>
      </c>
      <c r="Q32" t="str">
        <f t="shared" si="3"/>
        <v>January</v>
      </c>
      <c r="R32" t="str">
        <f t="shared" si="4"/>
        <v>Week 2</v>
      </c>
    </row>
    <row r="33" spans="1:18" x14ac:dyDescent="0.2">
      <c r="A33" s="11">
        <v>242951</v>
      </c>
      <c r="B33" s="2">
        <v>45300</v>
      </c>
      <c r="C33" t="s">
        <v>65</v>
      </c>
      <c r="D33" t="s">
        <v>66</v>
      </c>
      <c r="E33" t="s">
        <v>20</v>
      </c>
      <c r="F33" t="s">
        <v>21</v>
      </c>
      <c r="G33" t="s">
        <v>22</v>
      </c>
      <c r="H33" t="s">
        <v>67</v>
      </c>
      <c r="I33" t="s">
        <v>123</v>
      </c>
      <c r="J33" t="s">
        <v>110</v>
      </c>
      <c r="K33" t="s">
        <v>111</v>
      </c>
      <c r="L33" t="s">
        <v>77</v>
      </c>
      <c r="N33">
        <f t="shared" si="0"/>
        <v>2</v>
      </c>
      <c r="O33">
        <f t="shared" si="1"/>
        <v>1</v>
      </c>
      <c r="P33" t="str">
        <f t="shared" si="2"/>
        <v>Provided Guidance</v>
      </c>
      <c r="Q33" t="str">
        <f t="shared" si="3"/>
        <v>January</v>
      </c>
      <c r="R33" t="str">
        <f t="shared" si="4"/>
        <v>Week 2</v>
      </c>
    </row>
    <row r="34" spans="1:18" x14ac:dyDescent="0.2">
      <c r="A34" s="11">
        <v>242952</v>
      </c>
      <c r="B34" s="2">
        <v>45301</v>
      </c>
      <c r="C34" t="s">
        <v>65</v>
      </c>
      <c r="D34" t="s">
        <v>66</v>
      </c>
      <c r="E34" t="s">
        <v>20</v>
      </c>
      <c r="F34" t="s">
        <v>21</v>
      </c>
      <c r="G34" t="s">
        <v>73</v>
      </c>
      <c r="H34" t="s">
        <v>67</v>
      </c>
      <c r="I34" t="s">
        <v>124</v>
      </c>
      <c r="J34" t="s">
        <v>125</v>
      </c>
      <c r="K34" t="s">
        <v>126</v>
      </c>
      <c r="L34" t="s">
        <v>70</v>
      </c>
      <c r="N34">
        <f t="shared" si="0"/>
        <v>2</v>
      </c>
      <c r="O34">
        <f t="shared" si="1"/>
        <v>1</v>
      </c>
      <c r="P34" t="str">
        <f t="shared" si="2"/>
        <v>Observed Better</v>
      </c>
      <c r="Q34" t="str">
        <f t="shared" si="3"/>
        <v>January</v>
      </c>
      <c r="R34" t="str">
        <f t="shared" si="4"/>
        <v>Week 2</v>
      </c>
    </row>
    <row r="35" spans="1:18" x14ac:dyDescent="0.2">
      <c r="A35" s="11">
        <v>242953</v>
      </c>
      <c r="B35" s="2">
        <v>45301</v>
      </c>
      <c r="C35" t="s">
        <v>65</v>
      </c>
      <c r="D35" t="s">
        <v>66</v>
      </c>
      <c r="E35" t="s">
        <v>20</v>
      </c>
      <c r="F35" t="s">
        <v>21</v>
      </c>
      <c r="G35" t="s">
        <v>22</v>
      </c>
      <c r="H35" t="s">
        <v>67</v>
      </c>
      <c r="I35" t="s">
        <v>127</v>
      </c>
      <c r="J35" t="s">
        <v>125</v>
      </c>
      <c r="K35" t="s">
        <v>126</v>
      </c>
      <c r="L35" t="s">
        <v>70</v>
      </c>
      <c r="N35">
        <f t="shared" si="0"/>
        <v>2</v>
      </c>
      <c r="O35">
        <f t="shared" si="1"/>
        <v>1</v>
      </c>
      <c r="P35" t="str">
        <f t="shared" si="2"/>
        <v>Observed Better</v>
      </c>
      <c r="Q35" t="str">
        <f t="shared" si="3"/>
        <v>January</v>
      </c>
      <c r="R35" t="str">
        <f t="shared" si="4"/>
        <v>Week 2</v>
      </c>
    </row>
    <row r="36" spans="1:18" x14ac:dyDescent="0.2">
      <c r="A36" s="11">
        <v>242954</v>
      </c>
      <c r="B36" s="2">
        <v>45301</v>
      </c>
      <c r="C36" t="s">
        <v>65</v>
      </c>
      <c r="D36" t="s">
        <v>66</v>
      </c>
      <c r="E36" t="s">
        <v>20</v>
      </c>
      <c r="F36" t="s">
        <v>21</v>
      </c>
      <c r="G36" t="s">
        <v>22</v>
      </c>
      <c r="H36" t="s">
        <v>67</v>
      </c>
      <c r="I36" t="s">
        <v>128</v>
      </c>
      <c r="J36" t="s">
        <v>125</v>
      </c>
      <c r="K36" t="s">
        <v>126</v>
      </c>
      <c r="L36" t="s">
        <v>70</v>
      </c>
      <c r="N36">
        <f t="shared" si="0"/>
        <v>2</v>
      </c>
      <c r="O36">
        <f t="shared" si="1"/>
        <v>1</v>
      </c>
      <c r="P36" t="str">
        <f t="shared" si="2"/>
        <v>Observed Better</v>
      </c>
      <c r="Q36" t="str">
        <f t="shared" si="3"/>
        <v>January</v>
      </c>
      <c r="R36" t="str">
        <f t="shared" si="4"/>
        <v>Week 2</v>
      </c>
    </row>
    <row r="37" spans="1:18" x14ac:dyDescent="0.2">
      <c r="A37" s="11">
        <v>242955</v>
      </c>
      <c r="B37" s="2">
        <v>45301</v>
      </c>
      <c r="C37" t="s">
        <v>65</v>
      </c>
      <c r="D37" t="s">
        <v>66</v>
      </c>
      <c r="E37" t="s">
        <v>16</v>
      </c>
      <c r="F37" t="s">
        <v>71</v>
      </c>
      <c r="H37" t="s">
        <v>67</v>
      </c>
      <c r="I37" t="s">
        <v>129</v>
      </c>
      <c r="J37" t="s">
        <v>37</v>
      </c>
      <c r="K37" t="s">
        <v>69</v>
      </c>
      <c r="L37" t="s">
        <v>70</v>
      </c>
      <c r="N37">
        <f t="shared" si="0"/>
        <v>2</v>
      </c>
      <c r="O37">
        <f t="shared" si="1"/>
        <v>1</v>
      </c>
      <c r="P37" t="str">
        <f t="shared" si="2"/>
        <v>Observed Better</v>
      </c>
      <c r="Q37" t="str">
        <f t="shared" si="3"/>
        <v>January</v>
      </c>
      <c r="R37" t="str">
        <f t="shared" si="4"/>
        <v>Week 2</v>
      </c>
    </row>
    <row r="38" spans="1:18" x14ac:dyDescent="0.2">
      <c r="A38" s="11">
        <v>242956</v>
      </c>
      <c r="B38" s="2">
        <v>45301</v>
      </c>
      <c r="C38" t="s">
        <v>65</v>
      </c>
      <c r="D38" t="s">
        <v>66</v>
      </c>
      <c r="E38" t="s">
        <v>20</v>
      </c>
      <c r="F38" t="s">
        <v>21</v>
      </c>
      <c r="G38" t="s">
        <v>73</v>
      </c>
      <c r="H38" t="s">
        <v>67</v>
      </c>
      <c r="I38" t="s">
        <v>130</v>
      </c>
      <c r="J38" t="s">
        <v>125</v>
      </c>
      <c r="K38" t="s">
        <v>126</v>
      </c>
      <c r="L38" t="s">
        <v>70</v>
      </c>
      <c r="N38">
        <f t="shared" si="0"/>
        <v>2</v>
      </c>
      <c r="O38">
        <f t="shared" si="1"/>
        <v>1</v>
      </c>
      <c r="P38" t="str">
        <f t="shared" si="2"/>
        <v>Observed Better</v>
      </c>
      <c r="Q38" t="str">
        <f t="shared" si="3"/>
        <v>January</v>
      </c>
      <c r="R38" t="str">
        <f t="shared" si="4"/>
        <v>Week 2</v>
      </c>
    </row>
    <row r="39" spans="1:18" x14ac:dyDescent="0.2">
      <c r="A39" s="11">
        <v>242963</v>
      </c>
      <c r="B39" s="2">
        <v>45301</v>
      </c>
      <c r="C39" t="s">
        <v>65</v>
      </c>
      <c r="D39" t="s">
        <v>66</v>
      </c>
      <c r="E39" t="s">
        <v>11</v>
      </c>
      <c r="F39" t="s">
        <v>131</v>
      </c>
      <c r="G39" t="s">
        <v>11</v>
      </c>
      <c r="H39" t="s">
        <v>67</v>
      </c>
      <c r="I39" t="s">
        <v>132</v>
      </c>
      <c r="J39" t="s">
        <v>38</v>
      </c>
      <c r="K39" t="s">
        <v>97</v>
      </c>
      <c r="L39" t="s">
        <v>70</v>
      </c>
      <c r="M39" t="s">
        <v>133</v>
      </c>
      <c r="N39">
        <f t="shared" si="0"/>
        <v>2</v>
      </c>
      <c r="O39">
        <f t="shared" si="1"/>
        <v>1</v>
      </c>
      <c r="P39" t="str">
        <f t="shared" si="2"/>
        <v>Observed Better</v>
      </c>
      <c r="Q39" t="str">
        <f t="shared" si="3"/>
        <v>January</v>
      </c>
      <c r="R39" t="str">
        <f t="shared" si="4"/>
        <v>Week 2</v>
      </c>
    </row>
    <row r="40" spans="1:18" x14ac:dyDescent="0.2">
      <c r="A40" s="11">
        <v>242964</v>
      </c>
      <c r="B40" s="2">
        <v>45301</v>
      </c>
      <c r="C40" t="s">
        <v>65</v>
      </c>
      <c r="D40" t="s">
        <v>66</v>
      </c>
      <c r="E40" t="s">
        <v>11</v>
      </c>
      <c r="F40" t="s">
        <v>134</v>
      </c>
      <c r="G40" t="s">
        <v>135</v>
      </c>
      <c r="H40" t="s">
        <v>67</v>
      </c>
      <c r="I40" t="s">
        <v>136</v>
      </c>
      <c r="J40" t="s">
        <v>38</v>
      </c>
      <c r="K40" t="s">
        <v>97</v>
      </c>
      <c r="L40" t="s">
        <v>70</v>
      </c>
      <c r="M40" t="s">
        <v>137</v>
      </c>
      <c r="N40">
        <f t="shared" si="0"/>
        <v>2</v>
      </c>
      <c r="O40">
        <f t="shared" si="1"/>
        <v>1</v>
      </c>
      <c r="P40" t="str">
        <f t="shared" si="2"/>
        <v>Observed Better</v>
      </c>
      <c r="Q40" t="str">
        <f t="shared" si="3"/>
        <v>January</v>
      </c>
      <c r="R40" t="str">
        <f t="shared" si="4"/>
        <v>Week 2</v>
      </c>
    </row>
    <row r="41" spans="1:18" x14ac:dyDescent="0.2">
      <c r="A41" s="11">
        <v>242965</v>
      </c>
      <c r="B41" s="2">
        <v>45301</v>
      </c>
      <c r="C41" t="s">
        <v>65</v>
      </c>
      <c r="D41" t="s">
        <v>66</v>
      </c>
      <c r="E41" t="s">
        <v>16</v>
      </c>
      <c r="F41" t="s">
        <v>19</v>
      </c>
      <c r="H41" t="s">
        <v>67</v>
      </c>
      <c r="I41" t="s">
        <v>138</v>
      </c>
      <c r="J41" t="s">
        <v>38</v>
      </c>
      <c r="K41" t="s">
        <v>97</v>
      </c>
      <c r="L41" t="s">
        <v>70</v>
      </c>
      <c r="M41" t="s">
        <v>139</v>
      </c>
      <c r="N41">
        <f t="shared" si="0"/>
        <v>2</v>
      </c>
      <c r="O41">
        <f t="shared" si="1"/>
        <v>1</v>
      </c>
      <c r="P41" t="str">
        <f t="shared" si="2"/>
        <v>Observed Better</v>
      </c>
      <c r="Q41" t="str">
        <f t="shared" si="3"/>
        <v>January</v>
      </c>
      <c r="R41" t="str">
        <f t="shared" si="4"/>
        <v>Week 2</v>
      </c>
    </row>
    <row r="42" spans="1:18" x14ac:dyDescent="0.2">
      <c r="A42" s="11">
        <v>242968</v>
      </c>
      <c r="B42" s="2">
        <v>45302</v>
      </c>
      <c r="C42" t="s">
        <v>65</v>
      </c>
      <c r="D42" t="s">
        <v>66</v>
      </c>
      <c r="E42" t="s">
        <v>20</v>
      </c>
      <c r="F42" t="s">
        <v>10</v>
      </c>
      <c r="G42" t="s">
        <v>23</v>
      </c>
      <c r="H42" t="s">
        <v>67</v>
      </c>
      <c r="I42" t="s">
        <v>140</v>
      </c>
      <c r="J42" t="s">
        <v>43</v>
      </c>
      <c r="K42" t="s">
        <v>141</v>
      </c>
      <c r="L42" t="s">
        <v>70</v>
      </c>
      <c r="N42">
        <f t="shared" si="0"/>
        <v>2</v>
      </c>
      <c r="O42">
        <f t="shared" si="1"/>
        <v>1</v>
      </c>
      <c r="P42" t="str">
        <f t="shared" si="2"/>
        <v>Observed Better</v>
      </c>
      <c r="Q42" t="str">
        <f t="shared" si="3"/>
        <v>January</v>
      </c>
      <c r="R42" t="str">
        <f t="shared" si="4"/>
        <v>Week 2</v>
      </c>
    </row>
    <row r="43" spans="1:18" x14ac:dyDescent="0.2">
      <c r="A43" s="11">
        <v>242969</v>
      </c>
      <c r="B43" s="2">
        <v>45302</v>
      </c>
      <c r="C43" t="s">
        <v>65</v>
      </c>
      <c r="D43" t="s">
        <v>66</v>
      </c>
      <c r="E43" t="s">
        <v>8</v>
      </c>
      <c r="F43" t="s">
        <v>9</v>
      </c>
      <c r="G43" t="s">
        <v>10</v>
      </c>
      <c r="H43" t="s">
        <v>67</v>
      </c>
      <c r="I43" t="s">
        <v>142</v>
      </c>
      <c r="J43" t="s">
        <v>43</v>
      </c>
      <c r="K43" t="s">
        <v>141</v>
      </c>
      <c r="L43" t="s">
        <v>70</v>
      </c>
      <c r="N43">
        <f t="shared" si="0"/>
        <v>2</v>
      </c>
      <c r="O43">
        <f t="shared" si="1"/>
        <v>1</v>
      </c>
      <c r="P43" t="str">
        <f t="shared" si="2"/>
        <v>Observed Better</v>
      </c>
      <c r="Q43" t="str">
        <f t="shared" si="3"/>
        <v>January</v>
      </c>
      <c r="R43" t="str">
        <f t="shared" si="4"/>
        <v>Week 2</v>
      </c>
    </row>
    <row r="44" spans="1:18" x14ac:dyDescent="0.2">
      <c r="A44" s="11">
        <v>242970</v>
      </c>
      <c r="B44" s="2">
        <v>45302</v>
      </c>
      <c r="C44" t="s">
        <v>65</v>
      </c>
      <c r="D44" t="s">
        <v>66</v>
      </c>
      <c r="E44" t="s">
        <v>11</v>
      </c>
      <c r="F44" t="s">
        <v>131</v>
      </c>
      <c r="G44" t="s">
        <v>11</v>
      </c>
      <c r="H44" t="s">
        <v>67</v>
      </c>
      <c r="I44" t="s">
        <v>143</v>
      </c>
      <c r="J44" t="s">
        <v>43</v>
      </c>
      <c r="K44" t="s">
        <v>141</v>
      </c>
      <c r="L44" t="s">
        <v>70</v>
      </c>
      <c r="N44">
        <f t="shared" si="0"/>
        <v>2</v>
      </c>
      <c r="O44">
        <f t="shared" si="1"/>
        <v>1</v>
      </c>
      <c r="P44" t="str">
        <f t="shared" si="2"/>
        <v>Observed Better</v>
      </c>
      <c r="Q44" t="str">
        <f t="shared" si="3"/>
        <v>January</v>
      </c>
      <c r="R44" t="str">
        <f t="shared" si="4"/>
        <v>Week 2</v>
      </c>
    </row>
    <row r="45" spans="1:18" x14ac:dyDescent="0.2">
      <c r="A45" s="11">
        <v>242971</v>
      </c>
      <c r="B45" s="2">
        <v>45303</v>
      </c>
      <c r="C45" t="s">
        <v>65</v>
      </c>
      <c r="D45" t="s">
        <v>66</v>
      </c>
      <c r="E45" t="s">
        <v>11</v>
      </c>
      <c r="F45" t="s">
        <v>131</v>
      </c>
      <c r="G45" t="s">
        <v>11</v>
      </c>
      <c r="H45" t="s">
        <v>67</v>
      </c>
      <c r="I45" t="s">
        <v>144</v>
      </c>
      <c r="J45" t="s">
        <v>40</v>
      </c>
      <c r="K45" t="s">
        <v>76</v>
      </c>
      <c r="L45" t="s">
        <v>77</v>
      </c>
      <c r="M45" t="s">
        <v>145</v>
      </c>
      <c r="N45">
        <f t="shared" si="0"/>
        <v>2</v>
      </c>
      <c r="O45">
        <f t="shared" si="1"/>
        <v>1</v>
      </c>
      <c r="P45" t="str">
        <f t="shared" si="2"/>
        <v>Provided Guidance</v>
      </c>
      <c r="Q45" t="str">
        <f t="shared" si="3"/>
        <v>January</v>
      </c>
      <c r="R45" t="str">
        <f t="shared" si="4"/>
        <v>Week 2</v>
      </c>
    </row>
    <row r="46" spans="1:18" x14ac:dyDescent="0.2">
      <c r="A46" s="11">
        <v>242972</v>
      </c>
      <c r="B46" s="2">
        <v>45303</v>
      </c>
      <c r="C46" t="s">
        <v>65</v>
      </c>
      <c r="D46" t="s">
        <v>66</v>
      </c>
      <c r="E46" t="s">
        <v>11</v>
      </c>
      <c r="F46" t="s">
        <v>131</v>
      </c>
      <c r="G46" t="s">
        <v>11</v>
      </c>
      <c r="H46" t="s">
        <v>67</v>
      </c>
      <c r="I46" t="s">
        <v>146</v>
      </c>
      <c r="J46" t="s">
        <v>40</v>
      </c>
      <c r="K46" t="s">
        <v>76</v>
      </c>
      <c r="L46" t="s">
        <v>77</v>
      </c>
      <c r="M46" t="s">
        <v>147</v>
      </c>
      <c r="N46">
        <f t="shared" si="0"/>
        <v>2</v>
      </c>
      <c r="O46">
        <f t="shared" si="1"/>
        <v>1</v>
      </c>
      <c r="P46" t="str">
        <f t="shared" si="2"/>
        <v>Provided Guidance</v>
      </c>
      <c r="Q46" t="str">
        <f t="shared" si="3"/>
        <v>January</v>
      </c>
      <c r="R46" t="str">
        <f t="shared" si="4"/>
        <v>Week 2</v>
      </c>
    </row>
    <row r="47" spans="1:18" x14ac:dyDescent="0.2">
      <c r="A47" s="11">
        <v>242973</v>
      </c>
      <c r="B47" s="2">
        <v>45303</v>
      </c>
      <c r="C47" t="s">
        <v>65</v>
      </c>
      <c r="D47" t="s">
        <v>66</v>
      </c>
      <c r="E47" t="s">
        <v>11</v>
      </c>
      <c r="F47" t="s">
        <v>131</v>
      </c>
      <c r="G47" t="s">
        <v>11</v>
      </c>
      <c r="H47" t="s">
        <v>67</v>
      </c>
      <c r="I47" t="s">
        <v>148</v>
      </c>
      <c r="J47" t="s">
        <v>40</v>
      </c>
      <c r="K47" t="s">
        <v>76</v>
      </c>
      <c r="L47" t="s">
        <v>77</v>
      </c>
      <c r="M47" t="s">
        <v>149</v>
      </c>
      <c r="N47">
        <f t="shared" si="0"/>
        <v>2</v>
      </c>
      <c r="O47">
        <f t="shared" si="1"/>
        <v>1</v>
      </c>
      <c r="P47" t="str">
        <f t="shared" si="2"/>
        <v>Provided Guidance</v>
      </c>
      <c r="Q47" t="str">
        <f t="shared" si="3"/>
        <v>January</v>
      </c>
      <c r="R47" t="str">
        <f t="shared" si="4"/>
        <v>Week 2</v>
      </c>
    </row>
    <row r="48" spans="1:18" x14ac:dyDescent="0.2">
      <c r="A48" s="11">
        <v>242974</v>
      </c>
      <c r="B48" s="2">
        <v>45303</v>
      </c>
      <c r="C48" t="s">
        <v>65</v>
      </c>
      <c r="D48" t="s">
        <v>66</v>
      </c>
      <c r="E48" t="s">
        <v>11</v>
      </c>
      <c r="F48" t="s">
        <v>131</v>
      </c>
      <c r="G48" t="s">
        <v>11</v>
      </c>
      <c r="H48" t="s">
        <v>67</v>
      </c>
      <c r="I48" t="s">
        <v>150</v>
      </c>
      <c r="J48" t="s">
        <v>40</v>
      </c>
      <c r="K48" t="s">
        <v>76</v>
      </c>
      <c r="L48" t="s">
        <v>77</v>
      </c>
      <c r="M48" t="s">
        <v>151</v>
      </c>
      <c r="N48">
        <f t="shared" si="0"/>
        <v>2</v>
      </c>
      <c r="O48">
        <f t="shared" si="1"/>
        <v>1</v>
      </c>
      <c r="P48" t="str">
        <f t="shared" si="2"/>
        <v>Provided Guidance</v>
      </c>
      <c r="Q48" t="str">
        <f t="shared" si="3"/>
        <v>January</v>
      </c>
      <c r="R48" t="str">
        <f t="shared" si="4"/>
        <v>Week 2</v>
      </c>
    </row>
    <row r="49" spans="1:18" x14ac:dyDescent="0.2">
      <c r="A49" s="11">
        <v>242975</v>
      </c>
      <c r="B49" s="2">
        <v>45303</v>
      </c>
      <c r="C49" t="s">
        <v>65</v>
      </c>
      <c r="D49" t="s">
        <v>66</v>
      </c>
      <c r="E49" t="s">
        <v>11</v>
      </c>
      <c r="F49" t="s">
        <v>131</v>
      </c>
      <c r="G49" t="s">
        <v>11</v>
      </c>
      <c r="H49" t="s">
        <v>67</v>
      </c>
      <c r="I49" t="s">
        <v>152</v>
      </c>
      <c r="J49" t="s">
        <v>40</v>
      </c>
      <c r="K49" t="s">
        <v>76</v>
      </c>
      <c r="L49" t="s">
        <v>77</v>
      </c>
      <c r="M49" t="s">
        <v>153</v>
      </c>
      <c r="N49">
        <f t="shared" si="0"/>
        <v>2</v>
      </c>
      <c r="O49">
        <f t="shared" si="1"/>
        <v>1</v>
      </c>
      <c r="P49" t="str">
        <f t="shared" si="2"/>
        <v>Provided Guidance</v>
      </c>
      <c r="Q49" t="str">
        <f t="shared" si="3"/>
        <v>January</v>
      </c>
      <c r="R49" t="str">
        <f t="shared" si="4"/>
        <v>Week 2</v>
      </c>
    </row>
    <row r="50" spans="1:18" x14ac:dyDescent="0.2">
      <c r="A50" s="11">
        <v>242976</v>
      </c>
      <c r="B50" s="2">
        <v>45303</v>
      </c>
      <c r="C50" t="s">
        <v>65</v>
      </c>
      <c r="D50" t="s">
        <v>66</v>
      </c>
      <c r="E50" t="s">
        <v>11</v>
      </c>
      <c r="F50" t="s">
        <v>131</v>
      </c>
      <c r="G50" t="s">
        <v>11</v>
      </c>
      <c r="H50" t="s">
        <v>67</v>
      </c>
      <c r="I50" t="s">
        <v>154</v>
      </c>
      <c r="J50" t="s">
        <v>40</v>
      </c>
      <c r="K50" t="s">
        <v>76</v>
      </c>
      <c r="L50" t="s">
        <v>77</v>
      </c>
      <c r="M50" t="s">
        <v>155</v>
      </c>
      <c r="N50">
        <f t="shared" si="0"/>
        <v>2</v>
      </c>
      <c r="O50">
        <f t="shared" si="1"/>
        <v>1</v>
      </c>
      <c r="P50" t="str">
        <f t="shared" si="2"/>
        <v>Provided Guidance</v>
      </c>
      <c r="Q50" t="str">
        <f t="shared" si="3"/>
        <v>January</v>
      </c>
      <c r="R50" t="str">
        <f t="shared" si="4"/>
        <v>Week 2</v>
      </c>
    </row>
    <row r="51" spans="1:18" x14ac:dyDescent="0.2">
      <c r="A51" s="11">
        <v>242977</v>
      </c>
      <c r="B51" s="2">
        <v>45303</v>
      </c>
      <c r="C51" t="s">
        <v>65</v>
      </c>
      <c r="D51" t="s">
        <v>66</v>
      </c>
      <c r="E51" t="s">
        <v>16</v>
      </c>
      <c r="F51" t="s">
        <v>71</v>
      </c>
      <c r="H51" t="s">
        <v>67</v>
      </c>
      <c r="I51" t="s">
        <v>156</v>
      </c>
      <c r="J51" t="s">
        <v>41</v>
      </c>
      <c r="K51" t="s">
        <v>92</v>
      </c>
      <c r="L51" t="s">
        <v>77</v>
      </c>
      <c r="N51">
        <f t="shared" si="0"/>
        <v>2</v>
      </c>
      <c r="O51">
        <f t="shared" si="1"/>
        <v>1</v>
      </c>
      <c r="P51" t="str">
        <f t="shared" si="2"/>
        <v>Provided Guidance</v>
      </c>
      <c r="Q51" t="str">
        <f t="shared" si="3"/>
        <v>January</v>
      </c>
      <c r="R51" t="str">
        <f t="shared" si="4"/>
        <v>Week 2</v>
      </c>
    </row>
    <row r="52" spans="1:18" x14ac:dyDescent="0.2">
      <c r="A52" s="11">
        <v>242978</v>
      </c>
      <c r="B52" s="2">
        <v>45303</v>
      </c>
      <c r="C52" t="s">
        <v>65</v>
      </c>
      <c r="D52" t="s">
        <v>66</v>
      </c>
      <c r="E52" t="s">
        <v>11</v>
      </c>
      <c r="F52" t="s">
        <v>134</v>
      </c>
      <c r="G52" t="s">
        <v>135</v>
      </c>
      <c r="H52" t="s">
        <v>67</v>
      </c>
      <c r="I52" t="s">
        <v>157</v>
      </c>
      <c r="J52" t="s">
        <v>41</v>
      </c>
      <c r="K52" t="s">
        <v>92</v>
      </c>
      <c r="L52" t="s">
        <v>77</v>
      </c>
      <c r="N52">
        <f t="shared" si="0"/>
        <v>2</v>
      </c>
      <c r="O52">
        <f t="shared" si="1"/>
        <v>1</v>
      </c>
      <c r="P52" t="str">
        <f t="shared" si="2"/>
        <v>Provided Guidance</v>
      </c>
      <c r="Q52" t="str">
        <f t="shared" si="3"/>
        <v>January</v>
      </c>
      <c r="R52" t="str">
        <f t="shared" si="4"/>
        <v>Week 2</v>
      </c>
    </row>
    <row r="53" spans="1:18" x14ac:dyDescent="0.2">
      <c r="A53" s="11">
        <v>242979</v>
      </c>
      <c r="B53" s="2">
        <v>45303</v>
      </c>
      <c r="C53" t="s">
        <v>65</v>
      </c>
      <c r="D53" t="s">
        <v>66</v>
      </c>
      <c r="E53" t="s">
        <v>11</v>
      </c>
      <c r="F53" t="s">
        <v>134</v>
      </c>
      <c r="G53" t="s">
        <v>135</v>
      </c>
      <c r="H53" t="s">
        <v>67</v>
      </c>
      <c r="I53" t="s">
        <v>158</v>
      </c>
      <c r="J53" t="s">
        <v>41</v>
      </c>
      <c r="K53" t="s">
        <v>92</v>
      </c>
      <c r="L53" t="s">
        <v>77</v>
      </c>
      <c r="N53">
        <f t="shared" si="0"/>
        <v>2</v>
      </c>
      <c r="O53">
        <f t="shared" si="1"/>
        <v>1</v>
      </c>
      <c r="P53" t="str">
        <f t="shared" si="2"/>
        <v>Provided Guidance</v>
      </c>
      <c r="Q53" t="str">
        <f t="shared" si="3"/>
        <v>January</v>
      </c>
      <c r="R53" t="str">
        <f t="shared" si="4"/>
        <v>Week 2</v>
      </c>
    </row>
    <row r="54" spans="1:18" x14ac:dyDescent="0.2">
      <c r="A54" s="11">
        <v>242981</v>
      </c>
      <c r="B54" s="2">
        <v>45303</v>
      </c>
      <c r="C54" t="s">
        <v>65</v>
      </c>
      <c r="D54" t="s">
        <v>66</v>
      </c>
      <c r="E54" t="s">
        <v>8</v>
      </c>
      <c r="F54" t="s">
        <v>9</v>
      </c>
      <c r="G54" t="s">
        <v>11</v>
      </c>
      <c r="H54" t="s">
        <v>67</v>
      </c>
      <c r="I54" t="s">
        <v>159</v>
      </c>
      <c r="J54" t="s">
        <v>115</v>
      </c>
      <c r="K54" t="s">
        <v>116</v>
      </c>
      <c r="L54" t="s">
        <v>70</v>
      </c>
      <c r="N54">
        <f t="shared" si="0"/>
        <v>2</v>
      </c>
      <c r="O54">
        <f t="shared" si="1"/>
        <v>1</v>
      </c>
      <c r="P54" t="str">
        <f t="shared" si="2"/>
        <v>Observed Better</v>
      </c>
      <c r="Q54" t="str">
        <f t="shared" si="3"/>
        <v>January</v>
      </c>
      <c r="R54" t="str">
        <f t="shared" si="4"/>
        <v>Week 2</v>
      </c>
    </row>
    <row r="55" spans="1:18" x14ac:dyDescent="0.2">
      <c r="A55" s="11">
        <v>242982</v>
      </c>
      <c r="B55" s="2">
        <v>45303</v>
      </c>
      <c r="C55" t="s">
        <v>65</v>
      </c>
      <c r="D55" t="s">
        <v>66</v>
      </c>
      <c r="E55" t="s">
        <v>11</v>
      </c>
      <c r="F55" t="s">
        <v>134</v>
      </c>
      <c r="G55" t="s">
        <v>135</v>
      </c>
      <c r="H55" t="s">
        <v>67</v>
      </c>
      <c r="I55" t="s">
        <v>160</v>
      </c>
      <c r="J55" t="s">
        <v>115</v>
      </c>
      <c r="K55" t="s">
        <v>116</v>
      </c>
      <c r="L55" t="s">
        <v>70</v>
      </c>
      <c r="N55">
        <f t="shared" si="0"/>
        <v>2</v>
      </c>
      <c r="O55">
        <f t="shared" si="1"/>
        <v>1</v>
      </c>
      <c r="P55" t="str">
        <f t="shared" si="2"/>
        <v>Observed Better</v>
      </c>
      <c r="Q55" t="str">
        <f t="shared" si="3"/>
        <v>January</v>
      </c>
      <c r="R55" t="str">
        <f t="shared" si="4"/>
        <v>Week 2</v>
      </c>
    </row>
    <row r="56" spans="1:18" x14ac:dyDescent="0.2">
      <c r="A56" s="11">
        <v>242983</v>
      </c>
      <c r="B56" s="2">
        <v>45303</v>
      </c>
      <c r="C56" t="s">
        <v>65</v>
      </c>
      <c r="D56" t="s">
        <v>66</v>
      </c>
      <c r="E56" t="s">
        <v>20</v>
      </c>
      <c r="F56" t="s">
        <v>21</v>
      </c>
      <c r="G56" t="s">
        <v>22</v>
      </c>
      <c r="H56" t="s">
        <v>67</v>
      </c>
      <c r="I56" t="s">
        <v>161</v>
      </c>
      <c r="J56" t="s">
        <v>115</v>
      </c>
      <c r="K56" t="s">
        <v>116</v>
      </c>
      <c r="L56" t="s">
        <v>70</v>
      </c>
      <c r="N56">
        <f t="shared" si="0"/>
        <v>2</v>
      </c>
      <c r="O56">
        <f t="shared" si="1"/>
        <v>1</v>
      </c>
      <c r="P56" t="str">
        <f t="shared" si="2"/>
        <v>Observed Better</v>
      </c>
      <c r="Q56" t="str">
        <f t="shared" si="3"/>
        <v>January</v>
      </c>
      <c r="R56" t="str">
        <f t="shared" si="4"/>
        <v>Week 2</v>
      </c>
    </row>
    <row r="57" spans="1:18" x14ac:dyDescent="0.2">
      <c r="A57" s="11">
        <v>242998</v>
      </c>
      <c r="B57" s="2">
        <v>45312</v>
      </c>
      <c r="C57" t="s">
        <v>65</v>
      </c>
      <c r="D57" t="s">
        <v>66</v>
      </c>
      <c r="E57" t="s">
        <v>16</v>
      </c>
      <c r="F57" t="s">
        <v>162</v>
      </c>
      <c r="H57" t="s">
        <v>67</v>
      </c>
      <c r="I57" t="s">
        <v>163</v>
      </c>
      <c r="J57" t="s">
        <v>115</v>
      </c>
      <c r="K57" t="s">
        <v>116</v>
      </c>
      <c r="L57" t="s">
        <v>70</v>
      </c>
      <c r="N57">
        <f t="shared" si="0"/>
        <v>4</v>
      </c>
      <c r="O57">
        <f t="shared" si="1"/>
        <v>1</v>
      </c>
      <c r="P57" t="str">
        <f t="shared" si="2"/>
        <v>Observed Better</v>
      </c>
      <c r="Q57" t="str">
        <f t="shared" si="3"/>
        <v>January</v>
      </c>
      <c r="R57" t="str">
        <f t="shared" si="4"/>
        <v>Week 4</v>
      </c>
    </row>
    <row r="58" spans="1:18" x14ac:dyDescent="0.2">
      <c r="A58" s="11">
        <v>242999</v>
      </c>
      <c r="B58" s="2">
        <v>45312</v>
      </c>
      <c r="C58" t="s">
        <v>65</v>
      </c>
      <c r="D58" t="s">
        <v>66</v>
      </c>
      <c r="E58" t="s">
        <v>11</v>
      </c>
      <c r="F58" t="s">
        <v>131</v>
      </c>
      <c r="G58" t="s">
        <v>11</v>
      </c>
      <c r="H58" t="s">
        <v>67</v>
      </c>
      <c r="I58" t="s">
        <v>164</v>
      </c>
      <c r="J58" t="s">
        <v>115</v>
      </c>
      <c r="K58" t="s">
        <v>116</v>
      </c>
      <c r="L58" t="s">
        <v>70</v>
      </c>
      <c r="N58">
        <f t="shared" si="0"/>
        <v>4</v>
      </c>
      <c r="O58">
        <f t="shared" si="1"/>
        <v>1</v>
      </c>
      <c r="P58" t="str">
        <f t="shared" si="2"/>
        <v>Observed Better</v>
      </c>
      <c r="Q58" t="str">
        <f t="shared" si="3"/>
        <v>January</v>
      </c>
      <c r="R58" t="str">
        <f t="shared" si="4"/>
        <v>Week 4</v>
      </c>
    </row>
    <row r="59" spans="1:18" x14ac:dyDescent="0.2">
      <c r="A59" s="11">
        <v>243000</v>
      </c>
      <c r="B59" s="2">
        <v>45312</v>
      </c>
      <c r="C59" t="s">
        <v>65</v>
      </c>
      <c r="D59" t="s">
        <v>66</v>
      </c>
      <c r="E59" t="s">
        <v>8</v>
      </c>
      <c r="F59" t="s">
        <v>9</v>
      </c>
      <c r="G59" t="s">
        <v>11</v>
      </c>
      <c r="H59" t="s">
        <v>67</v>
      </c>
      <c r="I59" t="s">
        <v>165</v>
      </c>
      <c r="J59" t="s">
        <v>115</v>
      </c>
      <c r="K59" t="s">
        <v>116</v>
      </c>
      <c r="L59" t="s">
        <v>70</v>
      </c>
      <c r="N59">
        <f t="shared" si="0"/>
        <v>4</v>
      </c>
      <c r="O59">
        <f t="shared" si="1"/>
        <v>1</v>
      </c>
      <c r="P59" t="str">
        <f t="shared" si="2"/>
        <v>Observed Better</v>
      </c>
      <c r="Q59" t="str">
        <f t="shared" si="3"/>
        <v>January</v>
      </c>
      <c r="R59" t="str">
        <f t="shared" si="4"/>
        <v>Week 4</v>
      </c>
    </row>
    <row r="60" spans="1:18" x14ac:dyDescent="0.2">
      <c r="A60" s="11">
        <v>243006</v>
      </c>
      <c r="B60" s="2">
        <v>45314</v>
      </c>
      <c r="C60" t="s">
        <v>65</v>
      </c>
      <c r="D60" t="s">
        <v>66</v>
      </c>
      <c r="E60" t="s">
        <v>11</v>
      </c>
      <c r="F60" t="s">
        <v>134</v>
      </c>
      <c r="G60" t="s">
        <v>135</v>
      </c>
      <c r="H60" t="s">
        <v>67</v>
      </c>
      <c r="I60" t="s">
        <v>166</v>
      </c>
      <c r="J60" t="s">
        <v>37</v>
      </c>
      <c r="K60" t="s">
        <v>69</v>
      </c>
      <c r="L60" t="s">
        <v>70</v>
      </c>
      <c r="N60">
        <f t="shared" si="0"/>
        <v>4</v>
      </c>
      <c r="O60">
        <f t="shared" si="1"/>
        <v>1</v>
      </c>
      <c r="P60" t="str">
        <f t="shared" si="2"/>
        <v>Observed Better</v>
      </c>
      <c r="Q60" t="str">
        <f t="shared" si="3"/>
        <v>January</v>
      </c>
      <c r="R60" t="str">
        <f t="shared" si="4"/>
        <v>Week 4</v>
      </c>
    </row>
    <row r="61" spans="1:18" x14ac:dyDescent="0.2">
      <c r="A61" s="11">
        <v>243007</v>
      </c>
      <c r="B61" s="2">
        <v>45314</v>
      </c>
      <c r="C61" t="s">
        <v>65</v>
      </c>
      <c r="D61" t="s">
        <v>66</v>
      </c>
      <c r="E61" t="s">
        <v>8</v>
      </c>
      <c r="F61" t="s">
        <v>9</v>
      </c>
      <c r="G61" t="s">
        <v>11</v>
      </c>
      <c r="H61" t="s">
        <v>67</v>
      </c>
      <c r="I61" t="s">
        <v>167</v>
      </c>
      <c r="J61" t="s">
        <v>37</v>
      </c>
      <c r="K61" t="s">
        <v>69</v>
      </c>
      <c r="L61" t="s">
        <v>70</v>
      </c>
      <c r="N61">
        <f t="shared" si="0"/>
        <v>4</v>
      </c>
      <c r="O61">
        <f t="shared" si="1"/>
        <v>1</v>
      </c>
      <c r="P61" t="str">
        <f t="shared" si="2"/>
        <v>Observed Better</v>
      </c>
      <c r="Q61" t="str">
        <f t="shared" si="3"/>
        <v>January</v>
      </c>
      <c r="R61" t="str">
        <f t="shared" si="4"/>
        <v>Week 4</v>
      </c>
    </row>
    <row r="62" spans="1:18" x14ac:dyDescent="0.2">
      <c r="A62" s="11">
        <v>243024</v>
      </c>
      <c r="B62" s="2">
        <v>45315</v>
      </c>
      <c r="C62" t="s">
        <v>65</v>
      </c>
      <c r="D62" t="s">
        <v>66</v>
      </c>
      <c r="E62" t="s">
        <v>16</v>
      </c>
      <c r="F62" t="s">
        <v>19</v>
      </c>
      <c r="H62" t="s">
        <v>67</v>
      </c>
      <c r="I62" t="s">
        <v>168</v>
      </c>
      <c r="J62" t="s">
        <v>37</v>
      </c>
      <c r="K62" t="s">
        <v>69</v>
      </c>
      <c r="L62" t="s">
        <v>70</v>
      </c>
      <c r="N62">
        <f t="shared" si="0"/>
        <v>4</v>
      </c>
      <c r="O62">
        <f t="shared" si="1"/>
        <v>1</v>
      </c>
      <c r="P62" t="str">
        <f t="shared" si="2"/>
        <v>Observed Better</v>
      </c>
      <c r="Q62" t="str">
        <f t="shared" si="3"/>
        <v>January</v>
      </c>
      <c r="R62" t="str">
        <f t="shared" si="4"/>
        <v>Week 4</v>
      </c>
    </row>
    <row r="63" spans="1:18" x14ac:dyDescent="0.2">
      <c r="A63" s="11">
        <v>243051</v>
      </c>
      <c r="B63" s="2">
        <v>45317</v>
      </c>
      <c r="C63" t="s">
        <v>65</v>
      </c>
      <c r="D63" t="s">
        <v>66</v>
      </c>
      <c r="E63" t="s">
        <v>20</v>
      </c>
      <c r="F63" t="s">
        <v>10</v>
      </c>
      <c r="G63" t="s">
        <v>23</v>
      </c>
      <c r="H63" t="s">
        <v>67</v>
      </c>
      <c r="I63" t="s">
        <v>169</v>
      </c>
      <c r="J63" t="s">
        <v>40</v>
      </c>
      <c r="K63" t="s">
        <v>76</v>
      </c>
      <c r="L63" t="s">
        <v>77</v>
      </c>
      <c r="M63" t="s">
        <v>170</v>
      </c>
      <c r="N63">
        <f t="shared" si="0"/>
        <v>4</v>
      </c>
      <c r="O63">
        <f t="shared" si="1"/>
        <v>1</v>
      </c>
      <c r="P63" t="str">
        <f t="shared" si="2"/>
        <v>Provided Guidance</v>
      </c>
      <c r="Q63" t="str">
        <f t="shared" si="3"/>
        <v>January</v>
      </c>
      <c r="R63" t="str">
        <f t="shared" si="4"/>
        <v>Week 4</v>
      </c>
    </row>
    <row r="64" spans="1:18" x14ac:dyDescent="0.2">
      <c r="A64" s="11">
        <v>243052</v>
      </c>
      <c r="B64" s="2">
        <v>45317</v>
      </c>
      <c r="C64" t="s">
        <v>65</v>
      </c>
      <c r="D64" t="s">
        <v>66</v>
      </c>
      <c r="E64" t="s">
        <v>20</v>
      </c>
      <c r="F64" t="s">
        <v>10</v>
      </c>
      <c r="G64" t="s">
        <v>23</v>
      </c>
      <c r="H64" t="s">
        <v>67</v>
      </c>
      <c r="I64" t="s">
        <v>171</v>
      </c>
      <c r="J64" t="s">
        <v>40</v>
      </c>
      <c r="K64" t="s">
        <v>76</v>
      </c>
      <c r="L64" t="s">
        <v>77</v>
      </c>
      <c r="M64" t="s">
        <v>153</v>
      </c>
      <c r="N64">
        <f t="shared" si="0"/>
        <v>4</v>
      </c>
      <c r="O64">
        <f t="shared" si="1"/>
        <v>1</v>
      </c>
      <c r="P64" t="str">
        <f t="shared" si="2"/>
        <v>Provided Guidance</v>
      </c>
      <c r="Q64" t="str">
        <f t="shared" si="3"/>
        <v>January</v>
      </c>
      <c r="R64" t="str">
        <f t="shared" si="4"/>
        <v>Week 4</v>
      </c>
    </row>
    <row r="65" spans="1:18" x14ac:dyDescent="0.2">
      <c r="A65" s="11">
        <v>243053</v>
      </c>
      <c r="B65" s="2">
        <v>45317</v>
      </c>
      <c r="C65" t="s">
        <v>65</v>
      </c>
      <c r="D65" t="s">
        <v>66</v>
      </c>
      <c r="E65" t="s">
        <v>20</v>
      </c>
      <c r="F65" t="s">
        <v>10</v>
      </c>
      <c r="G65" t="s">
        <v>23</v>
      </c>
      <c r="H65" t="s">
        <v>67</v>
      </c>
      <c r="I65" t="s">
        <v>172</v>
      </c>
      <c r="J65" t="s">
        <v>40</v>
      </c>
      <c r="K65" t="s">
        <v>76</v>
      </c>
      <c r="L65" t="s">
        <v>77</v>
      </c>
      <c r="M65" t="s">
        <v>173</v>
      </c>
      <c r="N65">
        <f t="shared" si="0"/>
        <v>4</v>
      </c>
      <c r="O65">
        <f t="shared" si="1"/>
        <v>1</v>
      </c>
      <c r="P65" t="str">
        <f t="shared" si="2"/>
        <v>Provided Guidance</v>
      </c>
      <c r="Q65" t="str">
        <f t="shared" si="3"/>
        <v>January</v>
      </c>
      <c r="R65" t="str">
        <f t="shared" si="4"/>
        <v>Week 4</v>
      </c>
    </row>
    <row r="66" spans="1:18" x14ac:dyDescent="0.2">
      <c r="A66" s="11">
        <v>243054</v>
      </c>
      <c r="B66" s="2">
        <v>45317</v>
      </c>
      <c r="C66" t="s">
        <v>65</v>
      </c>
      <c r="D66" t="s">
        <v>66</v>
      </c>
      <c r="E66" t="s">
        <v>20</v>
      </c>
      <c r="F66" t="s">
        <v>10</v>
      </c>
      <c r="G66" t="s">
        <v>23</v>
      </c>
      <c r="H66" t="s">
        <v>67</v>
      </c>
      <c r="I66" t="s">
        <v>174</v>
      </c>
      <c r="J66" t="s">
        <v>40</v>
      </c>
      <c r="K66" t="s">
        <v>76</v>
      </c>
      <c r="L66" t="s">
        <v>77</v>
      </c>
      <c r="M66" t="s">
        <v>175</v>
      </c>
      <c r="N66">
        <f t="shared" ref="N66:N129" si="5">IF(ISBLANK(B66)," ",WEEKNUM(B66))</f>
        <v>4</v>
      </c>
      <c r="O66">
        <f t="shared" ref="O66:O129" si="6">IF(ISBLANK(B66)," ",MONTH(B66))</f>
        <v>1</v>
      </c>
      <c r="P66" t="str">
        <f t="shared" ref="P66:P129" si="7">IF(ISNUMBER(SEARCH("provided",L66)),"Provided Guidance","Observed Better")</f>
        <v>Provided Guidance</v>
      </c>
      <c r="Q66" t="str">
        <f t="shared" ref="Q66:Q129" si="8">IF(O66=" "," ",TEXT(O66*29,"mmmm"))</f>
        <v>January</v>
      </c>
      <c r="R66" t="str">
        <f t="shared" ref="R66:R129" si="9">IF(N66=" "," ",_xlfn.CONCAT("Week ",+TEXT(N66,"0")))</f>
        <v>Week 4</v>
      </c>
    </row>
    <row r="67" spans="1:18" x14ac:dyDescent="0.2">
      <c r="A67" s="11">
        <v>243055</v>
      </c>
      <c r="B67" s="2">
        <v>45317</v>
      </c>
      <c r="C67" t="s">
        <v>65</v>
      </c>
      <c r="D67" t="s">
        <v>66</v>
      </c>
      <c r="E67" t="s">
        <v>20</v>
      </c>
      <c r="F67" t="s">
        <v>10</v>
      </c>
      <c r="G67" t="s">
        <v>23</v>
      </c>
      <c r="H67" t="s">
        <v>67</v>
      </c>
      <c r="I67" t="s">
        <v>176</v>
      </c>
      <c r="J67" t="s">
        <v>40</v>
      </c>
      <c r="K67" t="s">
        <v>76</v>
      </c>
      <c r="L67" t="s">
        <v>77</v>
      </c>
      <c r="M67" t="s">
        <v>177</v>
      </c>
      <c r="N67">
        <f t="shared" si="5"/>
        <v>4</v>
      </c>
      <c r="O67">
        <f t="shared" si="6"/>
        <v>1</v>
      </c>
      <c r="P67" t="str">
        <f t="shared" si="7"/>
        <v>Provided Guidance</v>
      </c>
      <c r="Q67" t="str">
        <f t="shared" si="8"/>
        <v>January</v>
      </c>
      <c r="R67" t="str">
        <f t="shared" si="9"/>
        <v>Week 4</v>
      </c>
    </row>
    <row r="68" spans="1:18" x14ac:dyDescent="0.2">
      <c r="A68" s="11">
        <v>243056</v>
      </c>
      <c r="B68" s="2">
        <v>45317</v>
      </c>
      <c r="C68" t="s">
        <v>65</v>
      </c>
      <c r="D68" t="s">
        <v>66</v>
      </c>
      <c r="E68" t="s">
        <v>20</v>
      </c>
      <c r="F68" t="s">
        <v>10</v>
      </c>
      <c r="G68" t="s">
        <v>23</v>
      </c>
      <c r="H68" t="s">
        <v>67</v>
      </c>
      <c r="I68" t="s">
        <v>178</v>
      </c>
      <c r="J68" t="s">
        <v>40</v>
      </c>
      <c r="K68" t="s">
        <v>76</v>
      </c>
      <c r="L68" t="s">
        <v>77</v>
      </c>
      <c r="M68" t="s">
        <v>179</v>
      </c>
      <c r="N68">
        <f t="shared" si="5"/>
        <v>4</v>
      </c>
      <c r="O68">
        <f t="shared" si="6"/>
        <v>1</v>
      </c>
      <c r="P68" t="str">
        <f t="shared" si="7"/>
        <v>Provided Guidance</v>
      </c>
      <c r="Q68" t="str">
        <f t="shared" si="8"/>
        <v>January</v>
      </c>
      <c r="R68" t="str">
        <f t="shared" si="9"/>
        <v>Week 4</v>
      </c>
    </row>
    <row r="69" spans="1:18" x14ac:dyDescent="0.2">
      <c r="A69" s="11">
        <v>243057</v>
      </c>
      <c r="B69" s="2">
        <v>45317</v>
      </c>
      <c r="C69" t="s">
        <v>65</v>
      </c>
      <c r="D69" t="s">
        <v>66</v>
      </c>
      <c r="E69" t="s">
        <v>20</v>
      </c>
      <c r="F69" t="s">
        <v>10</v>
      </c>
      <c r="G69" t="s">
        <v>23</v>
      </c>
      <c r="H69" t="s">
        <v>67</v>
      </c>
      <c r="I69" t="s">
        <v>180</v>
      </c>
      <c r="J69" t="s">
        <v>40</v>
      </c>
      <c r="K69" t="s">
        <v>76</v>
      </c>
      <c r="L69" t="s">
        <v>77</v>
      </c>
      <c r="M69" t="s">
        <v>181</v>
      </c>
      <c r="N69">
        <f t="shared" si="5"/>
        <v>4</v>
      </c>
      <c r="O69">
        <f t="shared" si="6"/>
        <v>1</v>
      </c>
      <c r="P69" t="str">
        <f t="shared" si="7"/>
        <v>Provided Guidance</v>
      </c>
      <c r="Q69" t="str">
        <f t="shared" si="8"/>
        <v>January</v>
      </c>
      <c r="R69" t="str">
        <f t="shared" si="9"/>
        <v>Week 4</v>
      </c>
    </row>
    <row r="70" spans="1:18" x14ac:dyDescent="0.2">
      <c r="A70" s="11">
        <v>243058</v>
      </c>
      <c r="B70" s="2">
        <v>45317</v>
      </c>
      <c r="C70" t="s">
        <v>65</v>
      </c>
      <c r="D70" t="s">
        <v>66</v>
      </c>
      <c r="E70" t="s">
        <v>20</v>
      </c>
      <c r="F70" t="s">
        <v>10</v>
      </c>
      <c r="G70" t="s">
        <v>23</v>
      </c>
      <c r="H70" t="s">
        <v>67</v>
      </c>
      <c r="I70" t="s">
        <v>182</v>
      </c>
      <c r="J70" t="s">
        <v>40</v>
      </c>
      <c r="K70" t="s">
        <v>76</v>
      </c>
      <c r="L70" t="s">
        <v>77</v>
      </c>
      <c r="M70" t="s">
        <v>183</v>
      </c>
      <c r="N70">
        <f t="shared" si="5"/>
        <v>4</v>
      </c>
      <c r="O70">
        <f t="shared" si="6"/>
        <v>1</v>
      </c>
      <c r="P70" t="str">
        <f t="shared" si="7"/>
        <v>Provided Guidance</v>
      </c>
      <c r="Q70" t="str">
        <f t="shared" si="8"/>
        <v>January</v>
      </c>
      <c r="R70" t="str">
        <f t="shared" si="9"/>
        <v>Week 4</v>
      </c>
    </row>
    <row r="71" spans="1:18" x14ac:dyDescent="0.2">
      <c r="A71" s="11">
        <v>243059</v>
      </c>
      <c r="B71" s="2">
        <v>45317</v>
      </c>
      <c r="C71" t="s">
        <v>65</v>
      </c>
      <c r="D71" t="s">
        <v>66</v>
      </c>
      <c r="E71" t="s">
        <v>20</v>
      </c>
      <c r="F71" t="s">
        <v>10</v>
      </c>
      <c r="G71" t="s">
        <v>23</v>
      </c>
      <c r="H71" t="s">
        <v>67</v>
      </c>
      <c r="I71" t="s">
        <v>184</v>
      </c>
      <c r="J71" t="s">
        <v>40</v>
      </c>
      <c r="K71" t="s">
        <v>76</v>
      </c>
      <c r="L71" t="s">
        <v>77</v>
      </c>
      <c r="M71" t="s">
        <v>185</v>
      </c>
      <c r="N71">
        <f t="shared" si="5"/>
        <v>4</v>
      </c>
      <c r="O71">
        <f t="shared" si="6"/>
        <v>1</v>
      </c>
      <c r="P71" t="str">
        <f t="shared" si="7"/>
        <v>Provided Guidance</v>
      </c>
      <c r="Q71" t="str">
        <f t="shared" si="8"/>
        <v>January</v>
      </c>
      <c r="R71" t="str">
        <f t="shared" si="9"/>
        <v>Week 4</v>
      </c>
    </row>
    <row r="72" spans="1:18" x14ac:dyDescent="0.2">
      <c r="A72" s="11">
        <v>243060</v>
      </c>
      <c r="B72" s="2">
        <v>45317</v>
      </c>
      <c r="C72" t="s">
        <v>65</v>
      </c>
      <c r="D72" t="s">
        <v>66</v>
      </c>
      <c r="E72" t="s">
        <v>20</v>
      </c>
      <c r="F72" t="s">
        <v>10</v>
      </c>
      <c r="G72" t="s">
        <v>23</v>
      </c>
      <c r="H72" t="s">
        <v>67</v>
      </c>
      <c r="I72" t="s">
        <v>186</v>
      </c>
      <c r="J72" t="s">
        <v>40</v>
      </c>
      <c r="K72" t="s">
        <v>76</v>
      </c>
      <c r="L72" t="s">
        <v>77</v>
      </c>
      <c r="M72" t="s">
        <v>187</v>
      </c>
      <c r="N72">
        <f t="shared" si="5"/>
        <v>4</v>
      </c>
      <c r="O72">
        <f t="shared" si="6"/>
        <v>1</v>
      </c>
      <c r="P72" t="str">
        <f t="shared" si="7"/>
        <v>Provided Guidance</v>
      </c>
      <c r="Q72" t="str">
        <f t="shared" si="8"/>
        <v>January</v>
      </c>
      <c r="R72" t="str">
        <f t="shared" si="9"/>
        <v>Week 4</v>
      </c>
    </row>
    <row r="73" spans="1:18" x14ac:dyDescent="0.2">
      <c r="A73" s="11">
        <v>243061</v>
      </c>
      <c r="B73" s="2">
        <v>45317</v>
      </c>
      <c r="C73" t="s">
        <v>65</v>
      </c>
      <c r="D73" t="s">
        <v>66</v>
      </c>
      <c r="E73" t="s">
        <v>20</v>
      </c>
      <c r="F73" t="s">
        <v>10</v>
      </c>
      <c r="G73" t="s">
        <v>23</v>
      </c>
      <c r="H73" t="s">
        <v>67</v>
      </c>
      <c r="I73" t="s">
        <v>188</v>
      </c>
      <c r="J73" t="s">
        <v>40</v>
      </c>
      <c r="K73" t="s">
        <v>76</v>
      </c>
      <c r="L73" t="s">
        <v>77</v>
      </c>
      <c r="M73" t="s">
        <v>189</v>
      </c>
      <c r="N73">
        <f t="shared" si="5"/>
        <v>4</v>
      </c>
      <c r="O73">
        <f t="shared" si="6"/>
        <v>1</v>
      </c>
      <c r="P73" t="str">
        <f t="shared" si="7"/>
        <v>Provided Guidance</v>
      </c>
      <c r="Q73" t="str">
        <f t="shared" si="8"/>
        <v>January</v>
      </c>
      <c r="R73" t="str">
        <f t="shared" si="9"/>
        <v>Week 4</v>
      </c>
    </row>
    <row r="74" spans="1:18" x14ac:dyDescent="0.2">
      <c r="A74" s="11">
        <v>243066</v>
      </c>
      <c r="B74" s="2">
        <v>45317</v>
      </c>
      <c r="C74" t="s">
        <v>65</v>
      </c>
      <c r="D74" t="s">
        <v>66</v>
      </c>
      <c r="E74" t="s">
        <v>11</v>
      </c>
      <c r="F74" t="s">
        <v>134</v>
      </c>
      <c r="G74" t="s">
        <v>135</v>
      </c>
      <c r="H74" t="s">
        <v>67</v>
      </c>
      <c r="I74" t="s">
        <v>190</v>
      </c>
      <c r="J74" t="s">
        <v>110</v>
      </c>
      <c r="K74" t="s">
        <v>111</v>
      </c>
      <c r="L74" t="s">
        <v>77</v>
      </c>
      <c r="N74">
        <f t="shared" si="5"/>
        <v>4</v>
      </c>
      <c r="O74">
        <f t="shared" si="6"/>
        <v>1</v>
      </c>
      <c r="P74" t="str">
        <f t="shared" si="7"/>
        <v>Provided Guidance</v>
      </c>
      <c r="Q74" t="str">
        <f t="shared" si="8"/>
        <v>January</v>
      </c>
      <c r="R74" t="str">
        <f t="shared" si="9"/>
        <v>Week 4</v>
      </c>
    </row>
    <row r="75" spans="1:18" x14ac:dyDescent="0.2">
      <c r="A75" s="11">
        <v>243067</v>
      </c>
      <c r="B75" s="2">
        <v>45317</v>
      </c>
      <c r="C75" t="s">
        <v>65</v>
      </c>
      <c r="D75" t="s">
        <v>66</v>
      </c>
      <c r="E75" t="s">
        <v>11</v>
      </c>
      <c r="F75" t="s">
        <v>134</v>
      </c>
      <c r="G75" t="s">
        <v>135</v>
      </c>
      <c r="H75" t="s">
        <v>67</v>
      </c>
      <c r="I75" t="s">
        <v>191</v>
      </c>
      <c r="J75" t="s">
        <v>110</v>
      </c>
      <c r="K75" t="s">
        <v>111</v>
      </c>
      <c r="L75" t="s">
        <v>70</v>
      </c>
      <c r="N75">
        <f t="shared" si="5"/>
        <v>4</v>
      </c>
      <c r="O75">
        <f t="shared" si="6"/>
        <v>1</v>
      </c>
      <c r="P75" t="str">
        <f t="shared" si="7"/>
        <v>Observed Better</v>
      </c>
      <c r="Q75" t="str">
        <f t="shared" si="8"/>
        <v>January</v>
      </c>
      <c r="R75" t="str">
        <f t="shared" si="9"/>
        <v>Week 4</v>
      </c>
    </row>
    <row r="76" spans="1:18" x14ac:dyDescent="0.2">
      <c r="A76" s="11">
        <v>243068</v>
      </c>
      <c r="B76" s="2">
        <v>45317</v>
      </c>
      <c r="C76" t="s">
        <v>65</v>
      </c>
      <c r="D76" t="s">
        <v>66</v>
      </c>
      <c r="E76" t="s">
        <v>11</v>
      </c>
      <c r="F76" t="s">
        <v>134</v>
      </c>
      <c r="G76" t="s">
        <v>135</v>
      </c>
      <c r="H76" t="s">
        <v>67</v>
      </c>
      <c r="I76" t="s">
        <v>192</v>
      </c>
      <c r="J76" t="s">
        <v>110</v>
      </c>
      <c r="K76" t="s">
        <v>111</v>
      </c>
      <c r="L76" t="s">
        <v>70</v>
      </c>
      <c r="N76">
        <f t="shared" si="5"/>
        <v>4</v>
      </c>
      <c r="O76">
        <f t="shared" si="6"/>
        <v>1</v>
      </c>
      <c r="P76" t="str">
        <f t="shared" si="7"/>
        <v>Observed Better</v>
      </c>
      <c r="Q76" t="str">
        <f t="shared" si="8"/>
        <v>January</v>
      </c>
      <c r="R76" t="str">
        <f t="shared" si="9"/>
        <v>Week 4</v>
      </c>
    </row>
    <row r="77" spans="1:18" x14ac:dyDescent="0.2">
      <c r="A77" s="11">
        <v>243069</v>
      </c>
      <c r="B77" s="2">
        <v>45317</v>
      </c>
      <c r="C77" t="s">
        <v>65</v>
      </c>
      <c r="D77" t="s">
        <v>66</v>
      </c>
      <c r="E77" t="s">
        <v>8</v>
      </c>
      <c r="F77" t="s">
        <v>9</v>
      </c>
      <c r="G77" t="s">
        <v>11</v>
      </c>
      <c r="H77" t="s">
        <v>67</v>
      </c>
      <c r="I77" t="s">
        <v>193</v>
      </c>
      <c r="J77" t="s">
        <v>115</v>
      </c>
      <c r="K77" t="s">
        <v>116</v>
      </c>
      <c r="L77" t="s">
        <v>77</v>
      </c>
      <c r="N77">
        <f t="shared" si="5"/>
        <v>4</v>
      </c>
      <c r="O77">
        <f t="shared" si="6"/>
        <v>1</v>
      </c>
      <c r="P77" t="str">
        <f t="shared" si="7"/>
        <v>Provided Guidance</v>
      </c>
      <c r="Q77" t="str">
        <f t="shared" si="8"/>
        <v>January</v>
      </c>
      <c r="R77" t="str">
        <f t="shared" si="9"/>
        <v>Week 4</v>
      </c>
    </row>
    <row r="78" spans="1:18" x14ac:dyDescent="0.2">
      <c r="A78" s="11">
        <v>243070</v>
      </c>
      <c r="B78" s="2">
        <v>45317</v>
      </c>
      <c r="C78" t="s">
        <v>65</v>
      </c>
      <c r="D78" t="s">
        <v>66</v>
      </c>
      <c r="E78" t="s">
        <v>20</v>
      </c>
      <c r="F78" t="s">
        <v>21</v>
      </c>
      <c r="G78" t="s">
        <v>22</v>
      </c>
      <c r="H78" t="s">
        <v>67</v>
      </c>
      <c r="I78" t="s">
        <v>194</v>
      </c>
      <c r="J78" t="s">
        <v>115</v>
      </c>
      <c r="K78" t="s">
        <v>116</v>
      </c>
      <c r="L78" t="s">
        <v>70</v>
      </c>
      <c r="N78">
        <f t="shared" si="5"/>
        <v>4</v>
      </c>
      <c r="O78">
        <f t="shared" si="6"/>
        <v>1</v>
      </c>
      <c r="P78" t="str">
        <f t="shared" si="7"/>
        <v>Observed Better</v>
      </c>
      <c r="Q78" t="str">
        <f t="shared" si="8"/>
        <v>January</v>
      </c>
      <c r="R78" t="str">
        <f t="shared" si="9"/>
        <v>Week 4</v>
      </c>
    </row>
    <row r="79" spans="1:18" x14ac:dyDescent="0.2">
      <c r="A79" s="11">
        <v>243071</v>
      </c>
      <c r="B79" s="2">
        <v>45317</v>
      </c>
      <c r="C79" t="s">
        <v>65</v>
      </c>
      <c r="D79" t="s">
        <v>66</v>
      </c>
      <c r="E79" t="s">
        <v>20</v>
      </c>
      <c r="F79" t="s">
        <v>10</v>
      </c>
      <c r="G79" t="s">
        <v>23</v>
      </c>
      <c r="H79" t="s">
        <v>67</v>
      </c>
      <c r="I79" t="s">
        <v>195</v>
      </c>
      <c r="J79" t="s">
        <v>38</v>
      </c>
      <c r="K79" t="s">
        <v>97</v>
      </c>
      <c r="L79" t="s">
        <v>70</v>
      </c>
      <c r="M79" t="s">
        <v>196</v>
      </c>
      <c r="N79">
        <f t="shared" si="5"/>
        <v>4</v>
      </c>
      <c r="O79">
        <f t="shared" si="6"/>
        <v>1</v>
      </c>
      <c r="P79" t="str">
        <f t="shared" si="7"/>
        <v>Observed Better</v>
      </c>
      <c r="Q79" t="str">
        <f t="shared" si="8"/>
        <v>January</v>
      </c>
      <c r="R79" t="str">
        <f t="shared" si="9"/>
        <v>Week 4</v>
      </c>
    </row>
    <row r="80" spans="1:18" x14ac:dyDescent="0.2">
      <c r="A80" s="11">
        <v>243072</v>
      </c>
      <c r="B80" s="2">
        <v>45317</v>
      </c>
      <c r="C80" t="s">
        <v>65</v>
      </c>
      <c r="D80" t="s">
        <v>66</v>
      </c>
      <c r="E80" t="s">
        <v>24</v>
      </c>
      <c r="F80" t="s">
        <v>10</v>
      </c>
      <c r="G80" t="s">
        <v>26</v>
      </c>
      <c r="H80" t="s">
        <v>67</v>
      </c>
      <c r="I80" t="s">
        <v>197</v>
      </c>
      <c r="J80" t="s">
        <v>38</v>
      </c>
      <c r="K80" t="s">
        <v>97</v>
      </c>
      <c r="L80" t="s">
        <v>70</v>
      </c>
      <c r="M80" t="s">
        <v>198</v>
      </c>
      <c r="N80">
        <f t="shared" si="5"/>
        <v>4</v>
      </c>
      <c r="O80">
        <f t="shared" si="6"/>
        <v>1</v>
      </c>
      <c r="P80" t="str">
        <f t="shared" si="7"/>
        <v>Observed Better</v>
      </c>
      <c r="Q80" t="str">
        <f t="shared" si="8"/>
        <v>January</v>
      </c>
      <c r="R80" t="str">
        <f t="shared" si="9"/>
        <v>Week 4</v>
      </c>
    </row>
    <row r="81" spans="1:18" x14ac:dyDescent="0.2">
      <c r="A81" s="11">
        <v>243073</v>
      </c>
      <c r="B81" s="2">
        <v>45317</v>
      </c>
      <c r="C81" t="s">
        <v>65</v>
      </c>
      <c r="D81" t="s">
        <v>66</v>
      </c>
      <c r="E81" t="s">
        <v>24</v>
      </c>
      <c r="F81" t="s">
        <v>10</v>
      </c>
      <c r="G81" t="s">
        <v>26</v>
      </c>
      <c r="H81" t="s">
        <v>67</v>
      </c>
      <c r="I81" t="s">
        <v>199</v>
      </c>
      <c r="J81" t="s">
        <v>38</v>
      </c>
      <c r="K81" t="s">
        <v>97</v>
      </c>
      <c r="L81" t="s">
        <v>70</v>
      </c>
      <c r="M81" t="s">
        <v>200</v>
      </c>
      <c r="N81">
        <f t="shared" si="5"/>
        <v>4</v>
      </c>
      <c r="O81">
        <f t="shared" si="6"/>
        <v>1</v>
      </c>
      <c r="P81" t="str">
        <f t="shared" si="7"/>
        <v>Observed Better</v>
      </c>
      <c r="Q81" t="str">
        <f t="shared" si="8"/>
        <v>January</v>
      </c>
      <c r="R81" t="str">
        <f t="shared" si="9"/>
        <v>Week 4</v>
      </c>
    </row>
    <row r="82" spans="1:18" x14ac:dyDescent="0.2">
      <c r="A82" s="11">
        <v>243074</v>
      </c>
      <c r="B82" s="2">
        <v>45317</v>
      </c>
      <c r="C82" t="s">
        <v>65</v>
      </c>
      <c r="D82" t="s">
        <v>66</v>
      </c>
      <c r="E82" t="s">
        <v>20</v>
      </c>
      <c r="F82" t="s">
        <v>21</v>
      </c>
      <c r="G82" t="s">
        <v>22</v>
      </c>
      <c r="H82" t="s">
        <v>67</v>
      </c>
      <c r="I82" t="s">
        <v>201</v>
      </c>
      <c r="J82" t="s">
        <v>38</v>
      </c>
      <c r="K82" t="s">
        <v>97</v>
      </c>
      <c r="L82" t="s">
        <v>70</v>
      </c>
      <c r="M82" t="s">
        <v>202</v>
      </c>
      <c r="N82">
        <f t="shared" si="5"/>
        <v>4</v>
      </c>
      <c r="O82">
        <f t="shared" si="6"/>
        <v>1</v>
      </c>
      <c r="P82" t="str">
        <f t="shared" si="7"/>
        <v>Observed Better</v>
      </c>
      <c r="Q82" t="str">
        <f t="shared" si="8"/>
        <v>January</v>
      </c>
      <c r="R82" t="str">
        <f t="shared" si="9"/>
        <v>Week 4</v>
      </c>
    </row>
    <row r="83" spans="1:18" x14ac:dyDescent="0.2">
      <c r="A83" s="11">
        <v>243075</v>
      </c>
      <c r="B83" s="2">
        <v>45317</v>
      </c>
      <c r="C83" t="s">
        <v>65</v>
      </c>
      <c r="D83" t="s">
        <v>66</v>
      </c>
      <c r="E83" t="s">
        <v>20</v>
      </c>
      <c r="F83" t="s">
        <v>21</v>
      </c>
      <c r="G83" t="s">
        <v>22</v>
      </c>
      <c r="H83" t="s">
        <v>67</v>
      </c>
      <c r="I83" t="s">
        <v>201</v>
      </c>
      <c r="J83" t="s">
        <v>38</v>
      </c>
      <c r="K83" t="s">
        <v>97</v>
      </c>
      <c r="L83" t="s">
        <v>70</v>
      </c>
      <c r="M83" t="s">
        <v>202</v>
      </c>
      <c r="N83">
        <f t="shared" si="5"/>
        <v>4</v>
      </c>
      <c r="O83">
        <f t="shared" si="6"/>
        <v>1</v>
      </c>
      <c r="P83" t="str">
        <f t="shared" si="7"/>
        <v>Observed Better</v>
      </c>
      <c r="Q83" t="str">
        <f t="shared" si="8"/>
        <v>January</v>
      </c>
      <c r="R83" t="str">
        <f t="shared" si="9"/>
        <v>Week 4</v>
      </c>
    </row>
    <row r="84" spans="1:18" x14ac:dyDescent="0.2">
      <c r="A84" s="11">
        <v>243076</v>
      </c>
      <c r="B84" s="2">
        <v>45317</v>
      </c>
      <c r="C84" t="s">
        <v>65</v>
      </c>
      <c r="D84" t="s">
        <v>66</v>
      </c>
      <c r="E84" t="s">
        <v>8</v>
      </c>
      <c r="F84" t="s">
        <v>9</v>
      </c>
      <c r="G84" t="s">
        <v>203</v>
      </c>
      <c r="H84" t="s">
        <v>67</v>
      </c>
      <c r="I84" t="s">
        <v>204</v>
      </c>
      <c r="J84" t="s">
        <v>38</v>
      </c>
      <c r="K84" t="s">
        <v>97</v>
      </c>
      <c r="L84" t="s">
        <v>70</v>
      </c>
      <c r="M84" t="s">
        <v>205</v>
      </c>
      <c r="N84">
        <f t="shared" si="5"/>
        <v>4</v>
      </c>
      <c r="O84">
        <f t="shared" si="6"/>
        <v>1</v>
      </c>
      <c r="P84" t="str">
        <f t="shared" si="7"/>
        <v>Observed Better</v>
      </c>
      <c r="Q84" t="str">
        <f t="shared" si="8"/>
        <v>January</v>
      </c>
      <c r="R84" t="str">
        <f t="shared" si="9"/>
        <v>Week 4</v>
      </c>
    </row>
    <row r="85" spans="1:18" x14ac:dyDescent="0.2">
      <c r="A85" s="11">
        <v>243077</v>
      </c>
      <c r="B85" s="2">
        <v>45317</v>
      </c>
      <c r="C85" t="s">
        <v>65</v>
      </c>
      <c r="D85" t="s">
        <v>66</v>
      </c>
      <c r="E85" t="s">
        <v>11</v>
      </c>
      <c r="F85" t="s">
        <v>131</v>
      </c>
      <c r="G85" t="s">
        <v>11</v>
      </c>
      <c r="H85" t="s">
        <v>67</v>
      </c>
      <c r="I85" t="s">
        <v>206</v>
      </c>
      <c r="J85" t="s">
        <v>38</v>
      </c>
      <c r="K85" t="s">
        <v>97</v>
      </c>
      <c r="L85" t="s">
        <v>70</v>
      </c>
      <c r="M85" t="s">
        <v>207</v>
      </c>
      <c r="N85">
        <f t="shared" si="5"/>
        <v>4</v>
      </c>
      <c r="O85">
        <f t="shared" si="6"/>
        <v>1</v>
      </c>
      <c r="P85" t="str">
        <f t="shared" si="7"/>
        <v>Observed Better</v>
      </c>
      <c r="Q85" t="str">
        <f t="shared" si="8"/>
        <v>January</v>
      </c>
      <c r="R85" t="str">
        <f t="shared" si="9"/>
        <v>Week 4</v>
      </c>
    </row>
    <row r="86" spans="1:18" x14ac:dyDescent="0.2">
      <c r="A86" s="11">
        <v>243078</v>
      </c>
      <c r="B86" s="2">
        <v>45317</v>
      </c>
      <c r="C86" t="s">
        <v>65</v>
      </c>
      <c r="D86" t="s">
        <v>66</v>
      </c>
      <c r="E86" t="s">
        <v>16</v>
      </c>
      <c r="F86" t="s">
        <v>19</v>
      </c>
      <c r="H86" t="s">
        <v>67</v>
      </c>
      <c r="I86" t="s">
        <v>208</v>
      </c>
      <c r="J86" t="s">
        <v>38</v>
      </c>
      <c r="K86" t="s">
        <v>97</v>
      </c>
      <c r="L86" t="s">
        <v>70</v>
      </c>
      <c r="M86" t="s">
        <v>209</v>
      </c>
      <c r="N86">
        <f t="shared" si="5"/>
        <v>4</v>
      </c>
      <c r="O86">
        <f t="shared" si="6"/>
        <v>1</v>
      </c>
      <c r="P86" t="str">
        <f t="shared" si="7"/>
        <v>Observed Better</v>
      </c>
      <c r="Q86" t="str">
        <f t="shared" si="8"/>
        <v>January</v>
      </c>
      <c r="R86" t="str">
        <f t="shared" si="9"/>
        <v>Week 4</v>
      </c>
    </row>
    <row r="87" spans="1:18" x14ac:dyDescent="0.2">
      <c r="A87" s="11">
        <v>243102</v>
      </c>
      <c r="B87" s="2">
        <v>45318</v>
      </c>
      <c r="C87" t="s">
        <v>65</v>
      </c>
      <c r="D87" t="s">
        <v>66</v>
      </c>
      <c r="E87" t="s">
        <v>16</v>
      </c>
      <c r="F87" t="s">
        <v>71</v>
      </c>
      <c r="H87" t="s">
        <v>67</v>
      </c>
      <c r="I87" t="s">
        <v>210</v>
      </c>
      <c r="J87" t="s">
        <v>41</v>
      </c>
      <c r="K87" t="s">
        <v>92</v>
      </c>
      <c r="L87" t="s">
        <v>77</v>
      </c>
      <c r="N87">
        <f t="shared" si="5"/>
        <v>4</v>
      </c>
      <c r="O87">
        <f t="shared" si="6"/>
        <v>1</v>
      </c>
      <c r="P87" t="str">
        <f t="shared" si="7"/>
        <v>Provided Guidance</v>
      </c>
      <c r="Q87" t="str">
        <f t="shared" si="8"/>
        <v>January</v>
      </c>
      <c r="R87" t="str">
        <f t="shared" si="9"/>
        <v>Week 4</v>
      </c>
    </row>
    <row r="88" spans="1:18" x14ac:dyDescent="0.2">
      <c r="A88" s="11">
        <v>243103</v>
      </c>
      <c r="B88" s="2">
        <v>45318</v>
      </c>
      <c r="C88" t="s">
        <v>65</v>
      </c>
      <c r="D88" t="s">
        <v>66</v>
      </c>
      <c r="E88" t="s">
        <v>8</v>
      </c>
      <c r="F88" t="s">
        <v>9</v>
      </c>
      <c r="G88" t="s">
        <v>203</v>
      </c>
      <c r="H88" t="s">
        <v>67</v>
      </c>
      <c r="I88" t="s">
        <v>211</v>
      </c>
      <c r="J88" t="s">
        <v>41</v>
      </c>
      <c r="K88" t="s">
        <v>92</v>
      </c>
      <c r="L88" t="s">
        <v>77</v>
      </c>
      <c r="M88" t="s">
        <v>212</v>
      </c>
      <c r="N88">
        <f t="shared" si="5"/>
        <v>4</v>
      </c>
      <c r="O88">
        <f t="shared" si="6"/>
        <v>1</v>
      </c>
      <c r="P88" t="str">
        <f t="shared" si="7"/>
        <v>Provided Guidance</v>
      </c>
      <c r="Q88" t="str">
        <f t="shared" si="8"/>
        <v>January</v>
      </c>
      <c r="R88" t="str">
        <f t="shared" si="9"/>
        <v>Week 4</v>
      </c>
    </row>
    <row r="89" spans="1:18" x14ac:dyDescent="0.2">
      <c r="A89" s="11">
        <v>243104</v>
      </c>
      <c r="B89" s="2">
        <v>45318</v>
      </c>
      <c r="C89" t="s">
        <v>65</v>
      </c>
      <c r="D89" t="s">
        <v>66</v>
      </c>
      <c r="E89" t="s">
        <v>11</v>
      </c>
      <c r="F89" t="s">
        <v>131</v>
      </c>
      <c r="G89" t="s">
        <v>11</v>
      </c>
      <c r="H89" t="s">
        <v>67</v>
      </c>
      <c r="I89" t="s">
        <v>213</v>
      </c>
      <c r="J89" t="s">
        <v>41</v>
      </c>
      <c r="K89" t="s">
        <v>92</v>
      </c>
      <c r="L89" t="s">
        <v>77</v>
      </c>
      <c r="N89">
        <f t="shared" si="5"/>
        <v>4</v>
      </c>
      <c r="O89">
        <f t="shared" si="6"/>
        <v>1</v>
      </c>
      <c r="P89" t="str">
        <f t="shared" si="7"/>
        <v>Provided Guidance</v>
      </c>
      <c r="Q89" t="str">
        <f t="shared" si="8"/>
        <v>January</v>
      </c>
      <c r="R89" t="str">
        <f t="shared" si="9"/>
        <v>Week 4</v>
      </c>
    </row>
    <row r="90" spans="1:18" x14ac:dyDescent="0.2">
      <c r="A90" s="11">
        <v>243105</v>
      </c>
      <c r="B90" s="2">
        <v>45318</v>
      </c>
      <c r="C90" t="s">
        <v>65</v>
      </c>
      <c r="D90" t="s">
        <v>66</v>
      </c>
      <c r="E90" t="s">
        <v>11</v>
      </c>
      <c r="F90" t="s">
        <v>131</v>
      </c>
      <c r="G90" t="s">
        <v>11</v>
      </c>
      <c r="H90" t="s">
        <v>67</v>
      </c>
      <c r="I90" t="s">
        <v>214</v>
      </c>
      <c r="J90" t="s">
        <v>125</v>
      </c>
      <c r="K90" t="s">
        <v>126</v>
      </c>
      <c r="L90" t="s">
        <v>70</v>
      </c>
      <c r="N90">
        <f t="shared" si="5"/>
        <v>4</v>
      </c>
      <c r="O90">
        <f t="shared" si="6"/>
        <v>1</v>
      </c>
      <c r="P90" t="str">
        <f t="shared" si="7"/>
        <v>Observed Better</v>
      </c>
      <c r="Q90" t="str">
        <f t="shared" si="8"/>
        <v>January</v>
      </c>
      <c r="R90" t="str">
        <f t="shared" si="9"/>
        <v>Week 4</v>
      </c>
    </row>
    <row r="91" spans="1:18" x14ac:dyDescent="0.2">
      <c r="A91" s="11">
        <v>243106</v>
      </c>
      <c r="B91" s="2">
        <v>45318</v>
      </c>
      <c r="C91" t="s">
        <v>65</v>
      </c>
      <c r="D91" t="s">
        <v>66</v>
      </c>
      <c r="E91" t="s">
        <v>8</v>
      </c>
      <c r="F91" t="s">
        <v>9</v>
      </c>
      <c r="G91" t="s">
        <v>203</v>
      </c>
      <c r="H91" t="s">
        <v>67</v>
      </c>
      <c r="I91" t="s">
        <v>215</v>
      </c>
      <c r="J91" t="s">
        <v>125</v>
      </c>
      <c r="K91" t="s">
        <v>126</v>
      </c>
      <c r="L91" t="s">
        <v>70</v>
      </c>
      <c r="N91">
        <f t="shared" si="5"/>
        <v>4</v>
      </c>
      <c r="O91">
        <f t="shared" si="6"/>
        <v>1</v>
      </c>
      <c r="P91" t="str">
        <f t="shared" si="7"/>
        <v>Observed Better</v>
      </c>
      <c r="Q91" t="str">
        <f t="shared" si="8"/>
        <v>January</v>
      </c>
      <c r="R91" t="str">
        <f t="shared" si="9"/>
        <v>Week 4</v>
      </c>
    </row>
    <row r="92" spans="1:18" x14ac:dyDescent="0.2">
      <c r="A92" s="11">
        <v>243107</v>
      </c>
      <c r="B92" s="2">
        <v>45318</v>
      </c>
      <c r="C92" t="s">
        <v>65</v>
      </c>
      <c r="D92" t="s">
        <v>66</v>
      </c>
      <c r="E92" t="s">
        <v>20</v>
      </c>
      <c r="F92" t="s">
        <v>21</v>
      </c>
      <c r="G92" t="s">
        <v>22</v>
      </c>
      <c r="H92" t="s">
        <v>67</v>
      </c>
      <c r="I92" t="s">
        <v>216</v>
      </c>
      <c r="J92" t="s">
        <v>115</v>
      </c>
      <c r="K92" t="s">
        <v>116</v>
      </c>
      <c r="L92" t="s">
        <v>70</v>
      </c>
      <c r="N92">
        <f t="shared" si="5"/>
        <v>4</v>
      </c>
      <c r="O92">
        <f t="shared" si="6"/>
        <v>1</v>
      </c>
      <c r="P92" t="str">
        <f t="shared" si="7"/>
        <v>Observed Better</v>
      </c>
      <c r="Q92" t="str">
        <f t="shared" si="8"/>
        <v>January</v>
      </c>
      <c r="R92" t="str">
        <f t="shared" si="9"/>
        <v>Week 4</v>
      </c>
    </row>
    <row r="93" spans="1:18" x14ac:dyDescent="0.2">
      <c r="A93" s="11">
        <v>243108</v>
      </c>
      <c r="B93" s="2">
        <v>45318</v>
      </c>
      <c r="C93" t="s">
        <v>65</v>
      </c>
      <c r="D93" t="s">
        <v>66</v>
      </c>
      <c r="E93" t="s">
        <v>20</v>
      </c>
      <c r="F93" t="s">
        <v>21</v>
      </c>
      <c r="G93" t="s">
        <v>73</v>
      </c>
      <c r="H93" t="s">
        <v>67</v>
      </c>
      <c r="I93" t="s">
        <v>217</v>
      </c>
      <c r="J93" t="s">
        <v>115</v>
      </c>
      <c r="K93" t="s">
        <v>116</v>
      </c>
      <c r="L93" t="s">
        <v>70</v>
      </c>
      <c r="N93">
        <f t="shared" si="5"/>
        <v>4</v>
      </c>
      <c r="O93">
        <f t="shared" si="6"/>
        <v>1</v>
      </c>
      <c r="P93" t="str">
        <f t="shared" si="7"/>
        <v>Observed Better</v>
      </c>
      <c r="Q93" t="str">
        <f t="shared" si="8"/>
        <v>January</v>
      </c>
      <c r="R93" t="str">
        <f t="shared" si="9"/>
        <v>Week 4</v>
      </c>
    </row>
    <row r="94" spans="1:18" x14ac:dyDescent="0.2">
      <c r="A94" s="11">
        <v>243109</v>
      </c>
      <c r="B94" s="2">
        <v>45319</v>
      </c>
      <c r="C94" t="s">
        <v>65</v>
      </c>
      <c r="D94" t="s">
        <v>66</v>
      </c>
      <c r="E94" t="s">
        <v>11</v>
      </c>
      <c r="F94" t="s">
        <v>134</v>
      </c>
      <c r="G94" t="s">
        <v>135</v>
      </c>
      <c r="H94" t="s">
        <v>67</v>
      </c>
      <c r="I94" t="s">
        <v>218</v>
      </c>
      <c r="J94" t="s">
        <v>115</v>
      </c>
      <c r="K94" t="s">
        <v>116</v>
      </c>
      <c r="L94" t="s">
        <v>77</v>
      </c>
      <c r="N94">
        <f t="shared" si="5"/>
        <v>5</v>
      </c>
      <c r="O94">
        <f t="shared" si="6"/>
        <v>1</v>
      </c>
      <c r="P94" t="str">
        <f t="shared" si="7"/>
        <v>Provided Guidance</v>
      </c>
      <c r="Q94" t="str">
        <f t="shared" si="8"/>
        <v>January</v>
      </c>
      <c r="R94" t="str">
        <f t="shared" si="9"/>
        <v>Week 5</v>
      </c>
    </row>
    <row r="95" spans="1:18" x14ac:dyDescent="0.2">
      <c r="A95" s="11">
        <v>243110</v>
      </c>
      <c r="B95" s="2">
        <v>45319</v>
      </c>
      <c r="C95" t="s">
        <v>65</v>
      </c>
      <c r="D95" t="s">
        <v>66</v>
      </c>
      <c r="E95" t="s">
        <v>8</v>
      </c>
      <c r="F95" t="s">
        <v>9</v>
      </c>
      <c r="G95" t="s">
        <v>11</v>
      </c>
      <c r="H95" t="s">
        <v>67</v>
      </c>
      <c r="I95" t="s">
        <v>219</v>
      </c>
      <c r="J95" t="s">
        <v>115</v>
      </c>
      <c r="K95" t="s">
        <v>116</v>
      </c>
      <c r="L95" t="s">
        <v>77</v>
      </c>
      <c r="N95">
        <f t="shared" si="5"/>
        <v>5</v>
      </c>
      <c r="O95">
        <f t="shared" si="6"/>
        <v>1</v>
      </c>
      <c r="P95" t="str">
        <f t="shared" si="7"/>
        <v>Provided Guidance</v>
      </c>
      <c r="Q95" t="str">
        <f t="shared" si="8"/>
        <v>January</v>
      </c>
      <c r="R95" t="str">
        <f t="shared" si="9"/>
        <v>Week 5</v>
      </c>
    </row>
    <row r="96" spans="1:18" x14ac:dyDescent="0.2">
      <c r="A96" s="11">
        <v>243112</v>
      </c>
      <c r="B96" s="2">
        <v>45319</v>
      </c>
      <c r="C96" t="s">
        <v>65</v>
      </c>
      <c r="D96" t="s">
        <v>66</v>
      </c>
      <c r="E96" t="s">
        <v>11</v>
      </c>
      <c r="F96" t="s">
        <v>220</v>
      </c>
      <c r="H96" t="s">
        <v>67</v>
      </c>
      <c r="I96" t="s">
        <v>221</v>
      </c>
      <c r="J96" t="s">
        <v>222</v>
      </c>
      <c r="K96" t="s">
        <v>223</v>
      </c>
      <c r="L96" t="s">
        <v>70</v>
      </c>
      <c r="M96" t="s">
        <v>224</v>
      </c>
      <c r="N96">
        <f t="shared" si="5"/>
        <v>5</v>
      </c>
      <c r="O96">
        <f t="shared" si="6"/>
        <v>1</v>
      </c>
      <c r="P96" t="str">
        <f t="shared" si="7"/>
        <v>Observed Better</v>
      </c>
      <c r="Q96" t="str">
        <f t="shared" si="8"/>
        <v>January</v>
      </c>
      <c r="R96" t="str">
        <f t="shared" si="9"/>
        <v>Week 5</v>
      </c>
    </row>
    <row r="97" spans="1:18" x14ac:dyDescent="0.2">
      <c r="A97" s="11">
        <v>243113</v>
      </c>
      <c r="B97" s="2">
        <v>45320</v>
      </c>
      <c r="C97" t="s">
        <v>65</v>
      </c>
      <c r="D97" t="s">
        <v>66</v>
      </c>
      <c r="E97" t="s">
        <v>8</v>
      </c>
      <c r="F97" t="s">
        <v>9</v>
      </c>
      <c r="G97" t="s">
        <v>10</v>
      </c>
      <c r="H97" t="s">
        <v>67</v>
      </c>
      <c r="I97" t="s">
        <v>225</v>
      </c>
      <c r="J97" t="s">
        <v>222</v>
      </c>
      <c r="K97" t="s">
        <v>223</v>
      </c>
      <c r="L97" t="s">
        <v>77</v>
      </c>
      <c r="M97" t="s">
        <v>226</v>
      </c>
      <c r="N97">
        <f t="shared" si="5"/>
        <v>5</v>
      </c>
      <c r="O97">
        <f t="shared" si="6"/>
        <v>1</v>
      </c>
      <c r="P97" t="str">
        <f t="shared" si="7"/>
        <v>Provided Guidance</v>
      </c>
      <c r="Q97" t="str">
        <f t="shared" si="8"/>
        <v>January</v>
      </c>
      <c r="R97" t="str">
        <f t="shared" si="9"/>
        <v>Week 5</v>
      </c>
    </row>
    <row r="98" spans="1:18" x14ac:dyDescent="0.2">
      <c r="A98" s="11">
        <v>243114</v>
      </c>
      <c r="B98" s="2">
        <v>45320</v>
      </c>
      <c r="C98" t="s">
        <v>65</v>
      </c>
      <c r="D98" t="s">
        <v>66</v>
      </c>
      <c r="E98" t="s">
        <v>16</v>
      </c>
      <c r="F98" t="s">
        <v>227</v>
      </c>
      <c r="H98" t="s">
        <v>67</v>
      </c>
      <c r="I98" t="s">
        <v>228</v>
      </c>
      <c r="J98" t="s">
        <v>222</v>
      </c>
      <c r="K98" t="s">
        <v>223</v>
      </c>
      <c r="L98" t="s">
        <v>77</v>
      </c>
      <c r="M98" t="s">
        <v>229</v>
      </c>
      <c r="N98">
        <f t="shared" si="5"/>
        <v>5</v>
      </c>
      <c r="O98">
        <f t="shared" si="6"/>
        <v>1</v>
      </c>
      <c r="P98" t="str">
        <f t="shared" si="7"/>
        <v>Provided Guidance</v>
      </c>
      <c r="Q98" t="str">
        <f t="shared" si="8"/>
        <v>January</v>
      </c>
      <c r="R98" t="str">
        <f t="shared" si="9"/>
        <v>Week 5</v>
      </c>
    </row>
    <row r="99" spans="1:18" x14ac:dyDescent="0.2">
      <c r="A99" s="11">
        <v>243124</v>
      </c>
      <c r="B99" s="2">
        <v>45321</v>
      </c>
      <c r="C99" t="s">
        <v>65</v>
      </c>
      <c r="D99" t="s">
        <v>66</v>
      </c>
      <c r="E99" t="s">
        <v>20</v>
      </c>
      <c r="F99" t="s">
        <v>10</v>
      </c>
      <c r="G99" t="s">
        <v>23</v>
      </c>
      <c r="H99" t="s">
        <v>67</v>
      </c>
      <c r="I99" t="s">
        <v>230</v>
      </c>
      <c r="J99" t="s">
        <v>37</v>
      </c>
      <c r="K99" t="s">
        <v>69</v>
      </c>
      <c r="L99" t="s">
        <v>70</v>
      </c>
      <c r="N99">
        <f t="shared" si="5"/>
        <v>5</v>
      </c>
      <c r="O99">
        <f t="shared" si="6"/>
        <v>1</v>
      </c>
      <c r="P99" t="str">
        <f t="shared" si="7"/>
        <v>Observed Better</v>
      </c>
      <c r="Q99" t="str">
        <f t="shared" si="8"/>
        <v>January</v>
      </c>
      <c r="R99" t="str">
        <f t="shared" si="9"/>
        <v>Week 5</v>
      </c>
    </row>
    <row r="100" spans="1:18" x14ac:dyDescent="0.2">
      <c r="A100" s="11">
        <v>243125</v>
      </c>
      <c r="B100" s="2">
        <v>45321</v>
      </c>
      <c r="C100" t="s">
        <v>65</v>
      </c>
      <c r="D100" t="s">
        <v>66</v>
      </c>
      <c r="E100" t="s">
        <v>24</v>
      </c>
      <c r="F100" t="s">
        <v>10</v>
      </c>
      <c r="G100" t="s">
        <v>26</v>
      </c>
      <c r="H100" t="s">
        <v>67</v>
      </c>
      <c r="I100" t="s">
        <v>231</v>
      </c>
      <c r="J100" t="s">
        <v>125</v>
      </c>
      <c r="K100" t="s">
        <v>126</v>
      </c>
      <c r="L100" t="s">
        <v>70</v>
      </c>
      <c r="N100">
        <f t="shared" si="5"/>
        <v>5</v>
      </c>
      <c r="O100">
        <f t="shared" si="6"/>
        <v>1</v>
      </c>
      <c r="P100" t="str">
        <f t="shared" si="7"/>
        <v>Observed Better</v>
      </c>
      <c r="Q100" t="str">
        <f t="shared" si="8"/>
        <v>January</v>
      </c>
      <c r="R100" t="str">
        <f t="shared" si="9"/>
        <v>Week 5</v>
      </c>
    </row>
    <row r="101" spans="1:18" x14ac:dyDescent="0.2">
      <c r="A101" s="11">
        <v>243126</v>
      </c>
      <c r="B101" s="2">
        <v>45321</v>
      </c>
      <c r="C101" t="s">
        <v>65</v>
      </c>
      <c r="D101" t="s">
        <v>66</v>
      </c>
      <c r="E101" t="s">
        <v>8</v>
      </c>
      <c r="F101" t="s">
        <v>9</v>
      </c>
      <c r="G101" t="s">
        <v>11</v>
      </c>
      <c r="H101" t="s">
        <v>67</v>
      </c>
      <c r="I101" t="s">
        <v>232</v>
      </c>
      <c r="J101" t="s">
        <v>125</v>
      </c>
      <c r="K101" t="s">
        <v>126</v>
      </c>
      <c r="L101" t="s">
        <v>70</v>
      </c>
      <c r="N101">
        <f t="shared" si="5"/>
        <v>5</v>
      </c>
      <c r="O101">
        <f t="shared" si="6"/>
        <v>1</v>
      </c>
      <c r="P101" t="str">
        <f t="shared" si="7"/>
        <v>Observed Better</v>
      </c>
      <c r="Q101" t="str">
        <f t="shared" si="8"/>
        <v>January</v>
      </c>
      <c r="R101" t="str">
        <f t="shared" si="9"/>
        <v>Week 5</v>
      </c>
    </row>
    <row r="102" spans="1:18" x14ac:dyDescent="0.2">
      <c r="A102" s="11">
        <v>243127</v>
      </c>
      <c r="B102" s="2">
        <v>45321</v>
      </c>
      <c r="C102" t="s">
        <v>65</v>
      </c>
      <c r="D102" t="s">
        <v>66</v>
      </c>
      <c r="E102" t="s">
        <v>11</v>
      </c>
      <c r="F102" t="s">
        <v>131</v>
      </c>
      <c r="G102" t="s">
        <v>11</v>
      </c>
      <c r="H102" t="s">
        <v>67</v>
      </c>
      <c r="I102" t="s">
        <v>233</v>
      </c>
      <c r="J102" t="s">
        <v>125</v>
      </c>
      <c r="K102" t="s">
        <v>126</v>
      </c>
      <c r="L102" t="s">
        <v>70</v>
      </c>
      <c r="N102">
        <f t="shared" si="5"/>
        <v>5</v>
      </c>
      <c r="O102">
        <f t="shared" si="6"/>
        <v>1</v>
      </c>
      <c r="P102" t="str">
        <f t="shared" si="7"/>
        <v>Observed Better</v>
      </c>
      <c r="Q102" t="str">
        <f t="shared" si="8"/>
        <v>January</v>
      </c>
      <c r="R102" t="str">
        <f t="shared" si="9"/>
        <v>Week 5</v>
      </c>
    </row>
    <row r="103" spans="1:18" x14ac:dyDescent="0.2">
      <c r="A103" s="11">
        <v>243130</v>
      </c>
      <c r="B103" s="2">
        <v>45321</v>
      </c>
      <c r="C103" t="s">
        <v>65</v>
      </c>
      <c r="D103" t="s">
        <v>66</v>
      </c>
      <c r="E103" t="s">
        <v>20</v>
      </c>
      <c r="F103" t="s">
        <v>21</v>
      </c>
      <c r="G103" t="s">
        <v>73</v>
      </c>
      <c r="H103" t="s">
        <v>67</v>
      </c>
      <c r="I103" t="s">
        <v>234</v>
      </c>
      <c r="J103" t="s">
        <v>125</v>
      </c>
      <c r="K103" t="s">
        <v>126</v>
      </c>
      <c r="L103" t="s">
        <v>70</v>
      </c>
      <c r="N103">
        <f t="shared" si="5"/>
        <v>5</v>
      </c>
      <c r="O103">
        <f t="shared" si="6"/>
        <v>1</v>
      </c>
      <c r="P103" t="str">
        <f t="shared" si="7"/>
        <v>Observed Better</v>
      </c>
      <c r="Q103" t="str">
        <f t="shared" si="8"/>
        <v>January</v>
      </c>
      <c r="R103" t="str">
        <f t="shared" si="9"/>
        <v>Week 5</v>
      </c>
    </row>
    <row r="104" spans="1:18" x14ac:dyDescent="0.2">
      <c r="A104" s="11">
        <v>243131</v>
      </c>
      <c r="B104" s="2">
        <v>45322</v>
      </c>
      <c r="C104" t="s">
        <v>65</v>
      </c>
      <c r="D104" t="s">
        <v>66</v>
      </c>
      <c r="E104" t="s">
        <v>20</v>
      </c>
      <c r="F104" t="s">
        <v>235</v>
      </c>
      <c r="H104" t="s">
        <v>67</v>
      </c>
      <c r="I104" t="s">
        <v>236</v>
      </c>
      <c r="J104" t="s">
        <v>37</v>
      </c>
      <c r="K104" t="s">
        <v>69</v>
      </c>
      <c r="L104" t="s">
        <v>70</v>
      </c>
      <c r="N104">
        <f t="shared" si="5"/>
        <v>5</v>
      </c>
      <c r="O104">
        <f t="shared" si="6"/>
        <v>1</v>
      </c>
      <c r="P104" t="str">
        <f t="shared" si="7"/>
        <v>Observed Better</v>
      </c>
      <c r="Q104" t="str">
        <f t="shared" si="8"/>
        <v>January</v>
      </c>
      <c r="R104" t="str">
        <f t="shared" si="9"/>
        <v>Week 5</v>
      </c>
    </row>
    <row r="105" spans="1:18" x14ac:dyDescent="0.2">
      <c r="A105" s="11">
        <v>243132</v>
      </c>
      <c r="B105" s="2">
        <v>45322</v>
      </c>
      <c r="C105" t="s">
        <v>65</v>
      </c>
      <c r="D105" t="s">
        <v>66</v>
      </c>
      <c r="E105" t="s">
        <v>11</v>
      </c>
      <c r="F105" t="s">
        <v>220</v>
      </c>
      <c r="H105" t="s">
        <v>67</v>
      </c>
      <c r="I105" t="s">
        <v>237</v>
      </c>
      <c r="J105" t="s">
        <v>125</v>
      </c>
      <c r="K105" t="s">
        <v>126</v>
      </c>
      <c r="L105" t="s">
        <v>70</v>
      </c>
      <c r="N105">
        <f t="shared" si="5"/>
        <v>5</v>
      </c>
      <c r="O105">
        <f t="shared" si="6"/>
        <v>1</v>
      </c>
      <c r="P105" t="str">
        <f t="shared" si="7"/>
        <v>Observed Better</v>
      </c>
      <c r="Q105" t="str">
        <f t="shared" si="8"/>
        <v>January</v>
      </c>
      <c r="R105" t="str">
        <f t="shared" si="9"/>
        <v>Week 5</v>
      </c>
    </row>
    <row r="106" spans="1:18" x14ac:dyDescent="0.2">
      <c r="A106" s="11">
        <v>243135</v>
      </c>
      <c r="B106" s="2">
        <v>45322</v>
      </c>
      <c r="C106" t="s">
        <v>65</v>
      </c>
      <c r="D106" t="s">
        <v>66</v>
      </c>
      <c r="E106" t="s">
        <v>20</v>
      </c>
      <c r="F106" t="s">
        <v>235</v>
      </c>
      <c r="H106" t="s">
        <v>67</v>
      </c>
      <c r="I106" t="s">
        <v>238</v>
      </c>
      <c r="J106" t="s">
        <v>125</v>
      </c>
      <c r="K106" t="s">
        <v>126</v>
      </c>
      <c r="L106" t="s">
        <v>70</v>
      </c>
      <c r="N106">
        <f t="shared" si="5"/>
        <v>5</v>
      </c>
      <c r="O106">
        <f t="shared" si="6"/>
        <v>1</v>
      </c>
      <c r="P106" t="str">
        <f t="shared" si="7"/>
        <v>Observed Better</v>
      </c>
      <c r="Q106" t="str">
        <f t="shared" si="8"/>
        <v>January</v>
      </c>
      <c r="R106" t="str">
        <f t="shared" si="9"/>
        <v>Week 5</v>
      </c>
    </row>
    <row r="107" spans="1:18" x14ac:dyDescent="0.2">
      <c r="A107" s="11">
        <v>243136</v>
      </c>
      <c r="B107" s="2">
        <v>45323</v>
      </c>
      <c r="C107" t="s">
        <v>65</v>
      </c>
      <c r="D107" t="s">
        <v>66</v>
      </c>
      <c r="E107" t="s">
        <v>20</v>
      </c>
      <c r="F107" t="s">
        <v>21</v>
      </c>
      <c r="G107" t="s">
        <v>73</v>
      </c>
      <c r="H107" t="s">
        <v>67</v>
      </c>
      <c r="I107" t="s">
        <v>239</v>
      </c>
      <c r="J107" t="s">
        <v>125</v>
      </c>
      <c r="K107" t="s">
        <v>126</v>
      </c>
      <c r="L107" t="s">
        <v>70</v>
      </c>
      <c r="N107">
        <f t="shared" si="5"/>
        <v>5</v>
      </c>
      <c r="O107">
        <f t="shared" si="6"/>
        <v>2</v>
      </c>
      <c r="P107" t="str">
        <f t="shared" si="7"/>
        <v>Observed Better</v>
      </c>
      <c r="Q107" t="str">
        <f t="shared" si="8"/>
        <v>February</v>
      </c>
      <c r="R107" t="str">
        <f t="shared" si="9"/>
        <v>Week 5</v>
      </c>
    </row>
    <row r="108" spans="1:18" x14ac:dyDescent="0.2">
      <c r="A108" s="11">
        <v>243137</v>
      </c>
      <c r="B108" s="2">
        <v>45323</v>
      </c>
      <c r="C108" t="s">
        <v>65</v>
      </c>
      <c r="D108" t="s">
        <v>66</v>
      </c>
      <c r="E108" t="s">
        <v>20</v>
      </c>
      <c r="F108" t="s">
        <v>21</v>
      </c>
      <c r="G108" t="s">
        <v>22</v>
      </c>
      <c r="H108" t="s">
        <v>67</v>
      </c>
      <c r="I108" t="s">
        <v>240</v>
      </c>
      <c r="J108" t="s">
        <v>35</v>
      </c>
      <c r="K108" t="s">
        <v>241</v>
      </c>
      <c r="L108" t="s">
        <v>70</v>
      </c>
      <c r="N108">
        <f t="shared" si="5"/>
        <v>5</v>
      </c>
      <c r="O108">
        <f t="shared" si="6"/>
        <v>2</v>
      </c>
      <c r="P108" t="str">
        <f t="shared" si="7"/>
        <v>Observed Better</v>
      </c>
      <c r="Q108" t="str">
        <f t="shared" si="8"/>
        <v>February</v>
      </c>
      <c r="R108" t="str">
        <f t="shared" si="9"/>
        <v>Week 5</v>
      </c>
    </row>
    <row r="109" spans="1:18" x14ac:dyDescent="0.2">
      <c r="A109" s="11">
        <v>243138</v>
      </c>
      <c r="B109" s="2">
        <v>45323</v>
      </c>
      <c r="C109" t="s">
        <v>65</v>
      </c>
      <c r="D109" t="s">
        <v>66</v>
      </c>
      <c r="E109" t="s">
        <v>11</v>
      </c>
      <c r="F109" t="s">
        <v>220</v>
      </c>
      <c r="H109" t="s">
        <v>67</v>
      </c>
      <c r="I109" t="s">
        <v>242</v>
      </c>
      <c r="J109" t="s">
        <v>35</v>
      </c>
      <c r="K109" t="s">
        <v>241</v>
      </c>
      <c r="L109" t="s">
        <v>70</v>
      </c>
      <c r="N109">
        <f t="shared" si="5"/>
        <v>5</v>
      </c>
      <c r="O109">
        <f t="shared" si="6"/>
        <v>2</v>
      </c>
      <c r="P109" t="str">
        <f t="shared" si="7"/>
        <v>Observed Better</v>
      </c>
      <c r="Q109" t="str">
        <f t="shared" si="8"/>
        <v>February</v>
      </c>
      <c r="R109" t="str">
        <f t="shared" si="9"/>
        <v>Week 5</v>
      </c>
    </row>
    <row r="110" spans="1:18" x14ac:dyDescent="0.2">
      <c r="A110" s="11">
        <v>243139</v>
      </c>
      <c r="B110" s="2">
        <v>45323</v>
      </c>
      <c r="C110" t="s">
        <v>65</v>
      </c>
      <c r="D110" t="s">
        <v>66</v>
      </c>
      <c r="E110" t="s">
        <v>8</v>
      </c>
      <c r="F110" t="s">
        <v>9</v>
      </c>
      <c r="G110" t="s">
        <v>11</v>
      </c>
      <c r="H110" t="s">
        <v>67</v>
      </c>
      <c r="I110" t="s">
        <v>243</v>
      </c>
      <c r="J110" t="s">
        <v>39</v>
      </c>
      <c r="K110" t="s">
        <v>244</v>
      </c>
      <c r="L110" t="s">
        <v>77</v>
      </c>
      <c r="N110">
        <f t="shared" si="5"/>
        <v>5</v>
      </c>
      <c r="O110">
        <f t="shared" si="6"/>
        <v>2</v>
      </c>
      <c r="P110" t="str">
        <f t="shared" si="7"/>
        <v>Provided Guidance</v>
      </c>
      <c r="Q110" t="str">
        <f t="shared" si="8"/>
        <v>February</v>
      </c>
      <c r="R110" t="str">
        <f t="shared" si="9"/>
        <v>Week 5</v>
      </c>
    </row>
    <row r="111" spans="1:18" x14ac:dyDescent="0.2">
      <c r="A111" s="11">
        <v>243140</v>
      </c>
      <c r="B111" s="2">
        <v>45324</v>
      </c>
      <c r="C111" t="s">
        <v>65</v>
      </c>
      <c r="D111" t="s">
        <v>66</v>
      </c>
      <c r="E111" t="s">
        <v>8</v>
      </c>
      <c r="F111" t="s">
        <v>9</v>
      </c>
      <c r="G111" t="s">
        <v>10</v>
      </c>
      <c r="H111" t="s">
        <v>67</v>
      </c>
      <c r="I111" t="s">
        <v>245</v>
      </c>
      <c r="J111" t="s">
        <v>37</v>
      </c>
      <c r="K111" t="s">
        <v>69</v>
      </c>
      <c r="L111" t="s">
        <v>70</v>
      </c>
      <c r="N111">
        <f t="shared" si="5"/>
        <v>5</v>
      </c>
      <c r="O111">
        <f t="shared" si="6"/>
        <v>2</v>
      </c>
      <c r="P111" t="str">
        <f t="shared" si="7"/>
        <v>Observed Better</v>
      </c>
      <c r="Q111" t="str">
        <f t="shared" si="8"/>
        <v>February</v>
      </c>
      <c r="R111" t="str">
        <f t="shared" si="9"/>
        <v>Week 5</v>
      </c>
    </row>
    <row r="112" spans="1:18" x14ac:dyDescent="0.2">
      <c r="A112" s="11">
        <v>243141</v>
      </c>
      <c r="B112" s="2">
        <v>45324</v>
      </c>
      <c r="C112" t="s">
        <v>65</v>
      </c>
      <c r="D112" t="s">
        <v>66</v>
      </c>
      <c r="E112" t="s">
        <v>11</v>
      </c>
      <c r="F112" t="s">
        <v>131</v>
      </c>
      <c r="G112" t="s">
        <v>11</v>
      </c>
      <c r="H112" t="s">
        <v>67</v>
      </c>
      <c r="I112" t="s">
        <v>246</v>
      </c>
      <c r="J112" t="s">
        <v>39</v>
      </c>
      <c r="K112" t="s">
        <v>244</v>
      </c>
      <c r="L112" t="s">
        <v>70</v>
      </c>
      <c r="N112">
        <f t="shared" si="5"/>
        <v>5</v>
      </c>
      <c r="O112">
        <f t="shared" si="6"/>
        <v>2</v>
      </c>
      <c r="P112" t="str">
        <f t="shared" si="7"/>
        <v>Observed Better</v>
      </c>
      <c r="Q112" t="str">
        <f t="shared" si="8"/>
        <v>February</v>
      </c>
      <c r="R112" t="str">
        <f t="shared" si="9"/>
        <v>Week 5</v>
      </c>
    </row>
    <row r="113" spans="1:18" x14ac:dyDescent="0.2">
      <c r="A113" s="11">
        <v>243142</v>
      </c>
      <c r="B113" s="2">
        <v>45324</v>
      </c>
      <c r="C113" t="s">
        <v>65</v>
      </c>
      <c r="D113" t="s">
        <v>66</v>
      </c>
      <c r="E113" t="s">
        <v>11</v>
      </c>
      <c r="F113" t="s">
        <v>131</v>
      </c>
      <c r="G113" t="s">
        <v>11</v>
      </c>
      <c r="H113" t="s">
        <v>67</v>
      </c>
      <c r="I113" t="s">
        <v>247</v>
      </c>
      <c r="J113" t="s">
        <v>125</v>
      </c>
      <c r="K113" t="s">
        <v>126</v>
      </c>
      <c r="L113" t="s">
        <v>70</v>
      </c>
      <c r="N113">
        <f t="shared" si="5"/>
        <v>5</v>
      </c>
      <c r="O113">
        <f t="shared" si="6"/>
        <v>2</v>
      </c>
      <c r="P113" t="str">
        <f t="shared" si="7"/>
        <v>Observed Better</v>
      </c>
      <c r="Q113" t="str">
        <f t="shared" si="8"/>
        <v>February</v>
      </c>
      <c r="R113" t="str">
        <f t="shared" si="9"/>
        <v>Week 5</v>
      </c>
    </row>
    <row r="114" spans="1:18" x14ac:dyDescent="0.2">
      <c r="A114" s="11">
        <v>243145</v>
      </c>
      <c r="B114" s="2">
        <v>45324</v>
      </c>
      <c r="C114" t="s">
        <v>65</v>
      </c>
      <c r="D114" t="s">
        <v>66</v>
      </c>
      <c r="E114" t="s">
        <v>11</v>
      </c>
      <c r="F114" t="s">
        <v>134</v>
      </c>
      <c r="G114" t="s">
        <v>135</v>
      </c>
      <c r="H114" t="s">
        <v>67</v>
      </c>
      <c r="I114" t="s">
        <v>248</v>
      </c>
      <c r="J114" t="s">
        <v>110</v>
      </c>
      <c r="K114" t="s">
        <v>111</v>
      </c>
      <c r="L114" t="s">
        <v>70</v>
      </c>
      <c r="N114">
        <f t="shared" si="5"/>
        <v>5</v>
      </c>
      <c r="O114">
        <f t="shared" si="6"/>
        <v>2</v>
      </c>
      <c r="P114" t="str">
        <f t="shared" si="7"/>
        <v>Observed Better</v>
      </c>
      <c r="Q114" t="str">
        <f t="shared" si="8"/>
        <v>February</v>
      </c>
      <c r="R114" t="str">
        <f t="shared" si="9"/>
        <v>Week 5</v>
      </c>
    </row>
    <row r="115" spans="1:18" x14ac:dyDescent="0.2">
      <c r="A115" s="11">
        <v>243146</v>
      </c>
      <c r="B115" s="2">
        <v>45324</v>
      </c>
      <c r="C115" t="s">
        <v>65</v>
      </c>
      <c r="D115" t="s">
        <v>66</v>
      </c>
      <c r="E115" t="s">
        <v>16</v>
      </c>
      <c r="F115" t="s">
        <v>162</v>
      </c>
      <c r="H115" t="s">
        <v>67</v>
      </c>
      <c r="I115" t="s">
        <v>249</v>
      </c>
      <c r="J115" t="s">
        <v>110</v>
      </c>
      <c r="K115" t="s">
        <v>111</v>
      </c>
      <c r="L115" t="s">
        <v>77</v>
      </c>
      <c r="N115">
        <f t="shared" si="5"/>
        <v>5</v>
      </c>
      <c r="O115">
        <f t="shared" si="6"/>
        <v>2</v>
      </c>
      <c r="P115" t="str">
        <f t="shared" si="7"/>
        <v>Provided Guidance</v>
      </c>
      <c r="Q115" t="str">
        <f t="shared" si="8"/>
        <v>February</v>
      </c>
      <c r="R115" t="str">
        <f t="shared" si="9"/>
        <v>Week 5</v>
      </c>
    </row>
    <row r="116" spans="1:18" x14ac:dyDescent="0.2">
      <c r="A116" s="11">
        <v>243147</v>
      </c>
      <c r="B116" s="2">
        <v>45324</v>
      </c>
      <c r="C116" t="s">
        <v>65</v>
      </c>
      <c r="D116" t="s">
        <v>66</v>
      </c>
      <c r="E116" t="s">
        <v>8</v>
      </c>
      <c r="F116" t="s">
        <v>9</v>
      </c>
      <c r="G116" t="s">
        <v>10</v>
      </c>
      <c r="H116" t="s">
        <v>67</v>
      </c>
      <c r="I116" t="s">
        <v>250</v>
      </c>
      <c r="J116" t="s">
        <v>251</v>
      </c>
      <c r="K116" t="s">
        <v>252</v>
      </c>
      <c r="L116" t="s">
        <v>77</v>
      </c>
      <c r="M116" t="s">
        <v>253</v>
      </c>
      <c r="N116">
        <f t="shared" si="5"/>
        <v>5</v>
      </c>
      <c r="O116">
        <f t="shared" si="6"/>
        <v>2</v>
      </c>
      <c r="P116" t="str">
        <f t="shared" si="7"/>
        <v>Provided Guidance</v>
      </c>
      <c r="Q116" t="str">
        <f t="shared" si="8"/>
        <v>February</v>
      </c>
      <c r="R116" t="str">
        <f t="shared" si="9"/>
        <v>Week 5</v>
      </c>
    </row>
    <row r="117" spans="1:18" x14ac:dyDescent="0.2">
      <c r="A117" s="11">
        <v>243148</v>
      </c>
      <c r="B117" s="2">
        <v>45324</v>
      </c>
      <c r="C117" t="s">
        <v>65</v>
      </c>
      <c r="D117" t="s">
        <v>66</v>
      </c>
      <c r="E117" t="s">
        <v>8</v>
      </c>
      <c r="F117" t="s">
        <v>9</v>
      </c>
      <c r="G117" t="s">
        <v>10</v>
      </c>
      <c r="H117" t="s">
        <v>67</v>
      </c>
      <c r="I117" t="s">
        <v>254</v>
      </c>
      <c r="J117" t="s">
        <v>251</v>
      </c>
      <c r="K117" t="s">
        <v>252</v>
      </c>
      <c r="L117" t="s">
        <v>77</v>
      </c>
      <c r="N117">
        <f t="shared" si="5"/>
        <v>5</v>
      </c>
      <c r="O117">
        <f t="shared" si="6"/>
        <v>2</v>
      </c>
      <c r="P117" t="str">
        <f t="shared" si="7"/>
        <v>Provided Guidance</v>
      </c>
      <c r="Q117" t="str">
        <f t="shared" si="8"/>
        <v>February</v>
      </c>
      <c r="R117" t="str">
        <f t="shared" si="9"/>
        <v>Week 5</v>
      </c>
    </row>
    <row r="118" spans="1:18" x14ac:dyDescent="0.2">
      <c r="A118" s="11">
        <v>243149</v>
      </c>
      <c r="B118" s="2">
        <v>45324</v>
      </c>
      <c r="C118" t="s">
        <v>65</v>
      </c>
      <c r="D118" t="s">
        <v>66</v>
      </c>
      <c r="E118" t="s">
        <v>11</v>
      </c>
      <c r="F118" t="s">
        <v>131</v>
      </c>
      <c r="G118" t="s">
        <v>11</v>
      </c>
      <c r="H118" t="s">
        <v>67</v>
      </c>
      <c r="I118" t="s">
        <v>255</v>
      </c>
      <c r="J118" t="s">
        <v>43</v>
      </c>
      <c r="K118" t="s">
        <v>141</v>
      </c>
      <c r="L118" t="s">
        <v>70</v>
      </c>
      <c r="N118">
        <f t="shared" si="5"/>
        <v>5</v>
      </c>
      <c r="O118">
        <f t="shared" si="6"/>
        <v>2</v>
      </c>
      <c r="P118" t="str">
        <f t="shared" si="7"/>
        <v>Observed Better</v>
      </c>
      <c r="Q118" t="str">
        <f t="shared" si="8"/>
        <v>February</v>
      </c>
      <c r="R118" t="str">
        <f t="shared" si="9"/>
        <v>Week 5</v>
      </c>
    </row>
    <row r="119" spans="1:18" x14ac:dyDescent="0.2">
      <c r="A119" s="11">
        <v>243150</v>
      </c>
      <c r="B119" s="2">
        <v>45324</v>
      </c>
      <c r="C119" t="s">
        <v>65</v>
      </c>
      <c r="D119" t="s">
        <v>66</v>
      </c>
      <c r="E119" t="s">
        <v>20</v>
      </c>
      <c r="F119" t="s">
        <v>21</v>
      </c>
      <c r="G119" t="s">
        <v>73</v>
      </c>
      <c r="H119" t="s">
        <v>67</v>
      </c>
      <c r="I119" t="s">
        <v>256</v>
      </c>
      <c r="J119" t="s">
        <v>43</v>
      </c>
      <c r="K119" t="s">
        <v>141</v>
      </c>
      <c r="L119" t="s">
        <v>70</v>
      </c>
      <c r="N119">
        <f t="shared" si="5"/>
        <v>5</v>
      </c>
      <c r="O119">
        <f t="shared" si="6"/>
        <v>2</v>
      </c>
      <c r="P119" t="str">
        <f t="shared" si="7"/>
        <v>Observed Better</v>
      </c>
      <c r="Q119" t="str">
        <f t="shared" si="8"/>
        <v>February</v>
      </c>
      <c r="R119" t="str">
        <f t="shared" si="9"/>
        <v>Week 5</v>
      </c>
    </row>
    <row r="120" spans="1:18" x14ac:dyDescent="0.2">
      <c r="A120" s="11">
        <v>243151</v>
      </c>
      <c r="B120" s="2">
        <v>45324</v>
      </c>
      <c r="C120" t="s">
        <v>65</v>
      </c>
      <c r="D120" t="s">
        <v>66</v>
      </c>
      <c r="E120" t="s">
        <v>8</v>
      </c>
      <c r="F120" t="s">
        <v>9</v>
      </c>
      <c r="G120" t="s">
        <v>203</v>
      </c>
      <c r="H120" t="s">
        <v>67</v>
      </c>
      <c r="I120" t="s">
        <v>257</v>
      </c>
      <c r="J120" t="s">
        <v>43</v>
      </c>
      <c r="K120" t="s">
        <v>141</v>
      </c>
      <c r="L120" t="s">
        <v>70</v>
      </c>
      <c r="N120">
        <f t="shared" si="5"/>
        <v>5</v>
      </c>
      <c r="O120">
        <f t="shared" si="6"/>
        <v>2</v>
      </c>
      <c r="P120" t="str">
        <f t="shared" si="7"/>
        <v>Observed Better</v>
      </c>
      <c r="Q120" t="str">
        <f t="shared" si="8"/>
        <v>February</v>
      </c>
      <c r="R120" t="str">
        <f t="shared" si="9"/>
        <v>Week 5</v>
      </c>
    </row>
    <row r="121" spans="1:18" x14ac:dyDescent="0.2">
      <c r="A121" s="11">
        <v>243152</v>
      </c>
      <c r="B121" s="2">
        <v>45325</v>
      </c>
      <c r="C121" t="s">
        <v>65</v>
      </c>
      <c r="D121" t="s">
        <v>66</v>
      </c>
      <c r="E121" t="s">
        <v>20</v>
      </c>
      <c r="F121" t="s">
        <v>21</v>
      </c>
      <c r="G121" t="s">
        <v>22</v>
      </c>
      <c r="H121" t="s">
        <v>67</v>
      </c>
      <c r="I121" t="s">
        <v>258</v>
      </c>
      <c r="J121" t="s">
        <v>115</v>
      </c>
      <c r="K121" t="s">
        <v>116</v>
      </c>
      <c r="L121" t="s">
        <v>70</v>
      </c>
      <c r="N121">
        <f t="shared" si="5"/>
        <v>5</v>
      </c>
      <c r="O121">
        <f t="shared" si="6"/>
        <v>2</v>
      </c>
      <c r="P121" t="str">
        <f t="shared" si="7"/>
        <v>Observed Better</v>
      </c>
      <c r="Q121" t="str">
        <f t="shared" si="8"/>
        <v>February</v>
      </c>
      <c r="R121" t="str">
        <f t="shared" si="9"/>
        <v>Week 5</v>
      </c>
    </row>
    <row r="122" spans="1:18" x14ac:dyDescent="0.2">
      <c r="A122" s="11">
        <v>243153</v>
      </c>
      <c r="B122" s="2">
        <v>45325</v>
      </c>
      <c r="C122" t="s">
        <v>65</v>
      </c>
      <c r="D122" t="s">
        <v>66</v>
      </c>
      <c r="E122" t="s">
        <v>20</v>
      </c>
      <c r="F122" t="s">
        <v>21</v>
      </c>
      <c r="G122" t="s">
        <v>73</v>
      </c>
      <c r="H122" t="s">
        <v>67</v>
      </c>
      <c r="I122" t="s">
        <v>259</v>
      </c>
      <c r="J122" t="s">
        <v>115</v>
      </c>
      <c r="K122" t="s">
        <v>116</v>
      </c>
      <c r="L122" t="s">
        <v>70</v>
      </c>
      <c r="N122">
        <f t="shared" si="5"/>
        <v>5</v>
      </c>
      <c r="O122">
        <f t="shared" si="6"/>
        <v>2</v>
      </c>
      <c r="P122" t="str">
        <f t="shared" si="7"/>
        <v>Observed Better</v>
      </c>
      <c r="Q122" t="str">
        <f t="shared" si="8"/>
        <v>February</v>
      </c>
      <c r="R122" t="str">
        <f t="shared" si="9"/>
        <v>Week 5</v>
      </c>
    </row>
    <row r="123" spans="1:18" x14ac:dyDescent="0.2">
      <c r="A123" s="11">
        <v>243154</v>
      </c>
      <c r="B123" s="2">
        <v>45325</v>
      </c>
      <c r="C123" t="s">
        <v>65</v>
      </c>
      <c r="D123" t="s">
        <v>66</v>
      </c>
      <c r="E123" t="s">
        <v>11</v>
      </c>
      <c r="F123" t="s">
        <v>131</v>
      </c>
      <c r="G123" t="s">
        <v>11</v>
      </c>
      <c r="H123" t="s">
        <v>67</v>
      </c>
      <c r="I123" t="s">
        <v>260</v>
      </c>
      <c r="J123" t="s">
        <v>115</v>
      </c>
      <c r="K123" t="s">
        <v>116</v>
      </c>
      <c r="L123" t="s">
        <v>70</v>
      </c>
      <c r="N123">
        <f t="shared" si="5"/>
        <v>5</v>
      </c>
      <c r="O123">
        <f t="shared" si="6"/>
        <v>2</v>
      </c>
      <c r="P123" t="str">
        <f t="shared" si="7"/>
        <v>Observed Better</v>
      </c>
      <c r="Q123" t="str">
        <f t="shared" si="8"/>
        <v>February</v>
      </c>
      <c r="R123" t="str">
        <f t="shared" si="9"/>
        <v>Week 5</v>
      </c>
    </row>
    <row r="124" spans="1:18" x14ac:dyDescent="0.2">
      <c r="A124" s="11">
        <v>243155</v>
      </c>
      <c r="B124" s="2">
        <v>45325</v>
      </c>
      <c r="C124" t="s">
        <v>65</v>
      </c>
      <c r="D124" t="s">
        <v>66</v>
      </c>
      <c r="E124" t="s">
        <v>8</v>
      </c>
      <c r="F124" t="s">
        <v>9</v>
      </c>
      <c r="G124" t="s">
        <v>10</v>
      </c>
      <c r="H124" t="s">
        <v>67</v>
      </c>
      <c r="I124" t="s">
        <v>261</v>
      </c>
      <c r="J124" t="s">
        <v>115</v>
      </c>
      <c r="K124" t="s">
        <v>116</v>
      </c>
      <c r="L124" t="s">
        <v>77</v>
      </c>
      <c r="N124">
        <f t="shared" si="5"/>
        <v>5</v>
      </c>
      <c r="O124">
        <f t="shared" si="6"/>
        <v>2</v>
      </c>
      <c r="P124" t="str">
        <f t="shared" si="7"/>
        <v>Provided Guidance</v>
      </c>
      <c r="Q124" t="str">
        <f t="shared" si="8"/>
        <v>February</v>
      </c>
      <c r="R124" t="str">
        <f t="shared" si="9"/>
        <v>Week 5</v>
      </c>
    </row>
    <row r="125" spans="1:18" x14ac:dyDescent="0.2">
      <c r="A125" s="11">
        <v>243156</v>
      </c>
      <c r="B125" s="2">
        <v>45325</v>
      </c>
      <c r="C125" t="s">
        <v>65</v>
      </c>
      <c r="D125" t="s">
        <v>66</v>
      </c>
      <c r="E125" t="s">
        <v>8</v>
      </c>
      <c r="F125" t="s">
        <v>9</v>
      </c>
      <c r="G125" t="s">
        <v>11</v>
      </c>
      <c r="H125" t="s">
        <v>67</v>
      </c>
      <c r="I125" t="s">
        <v>262</v>
      </c>
      <c r="J125" t="s">
        <v>115</v>
      </c>
      <c r="K125" t="s">
        <v>116</v>
      </c>
      <c r="L125" t="s">
        <v>70</v>
      </c>
      <c r="N125">
        <f t="shared" si="5"/>
        <v>5</v>
      </c>
      <c r="O125">
        <f t="shared" si="6"/>
        <v>2</v>
      </c>
      <c r="P125" t="str">
        <f t="shared" si="7"/>
        <v>Observed Better</v>
      </c>
      <c r="Q125" t="str">
        <f t="shared" si="8"/>
        <v>February</v>
      </c>
      <c r="R125" t="str">
        <f t="shared" si="9"/>
        <v>Week 5</v>
      </c>
    </row>
    <row r="126" spans="1:18" x14ac:dyDescent="0.2">
      <c r="A126" s="11">
        <v>243157</v>
      </c>
      <c r="B126" s="2">
        <v>45325</v>
      </c>
      <c r="C126" t="s">
        <v>65</v>
      </c>
      <c r="D126" t="s">
        <v>66</v>
      </c>
      <c r="E126" t="s">
        <v>8</v>
      </c>
      <c r="F126" t="s">
        <v>9</v>
      </c>
      <c r="G126" t="s">
        <v>203</v>
      </c>
      <c r="H126" t="s">
        <v>67</v>
      </c>
      <c r="I126" t="s">
        <v>263</v>
      </c>
      <c r="J126" t="s">
        <v>115</v>
      </c>
      <c r="K126" t="s">
        <v>116</v>
      </c>
      <c r="L126" t="s">
        <v>70</v>
      </c>
      <c r="N126">
        <f t="shared" si="5"/>
        <v>5</v>
      </c>
      <c r="O126">
        <f t="shared" si="6"/>
        <v>2</v>
      </c>
      <c r="P126" t="str">
        <f t="shared" si="7"/>
        <v>Observed Better</v>
      </c>
      <c r="Q126" t="str">
        <f t="shared" si="8"/>
        <v>February</v>
      </c>
      <c r="R126" t="str">
        <f t="shared" si="9"/>
        <v>Week 5</v>
      </c>
    </row>
    <row r="127" spans="1:18" x14ac:dyDescent="0.2">
      <c r="A127" s="11">
        <v>243158</v>
      </c>
      <c r="B127" s="2">
        <v>45327</v>
      </c>
      <c r="C127" t="s">
        <v>65</v>
      </c>
      <c r="D127" t="s">
        <v>66</v>
      </c>
      <c r="E127" t="s">
        <v>11</v>
      </c>
      <c r="F127" t="s">
        <v>131</v>
      </c>
      <c r="G127" t="s">
        <v>11</v>
      </c>
      <c r="H127" t="s">
        <v>67</v>
      </c>
      <c r="I127" t="s">
        <v>264</v>
      </c>
      <c r="J127" t="s">
        <v>222</v>
      </c>
      <c r="K127" t="s">
        <v>223</v>
      </c>
      <c r="L127" t="s">
        <v>77</v>
      </c>
      <c r="M127" t="s">
        <v>265</v>
      </c>
      <c r="N127">
        <f t="shared" si="5"/>
        <v>6</v>
      </c>
      <c r="O127">
        <f t="shared" si="6"/>
        <v>2</v>
      </c>
      <c r="P127" t="str">
        <f t="shared" si="7"/>
        <v>Provided Guidance</v>
      </c>
      <c r="Q127" t="str">
        <f t="shared" si="8"/>
        <v>February</v>
      </c>
      <c r="R127" t="str">
        <f t="shared" si="9"/>
        <v>Week 6</v>
      </c>
    </row>
    <row r="128" spans="1:18" x14ac:dyDescent="0.2">
      <c r="A128" s="11">
        <v>243159</v>
      </c>
      <c r="B128" s="2">
        <v>45327</v>
      </c>
      <c r="C128" t="s">
        <v>65</v>
      </c>
      <c r="D128" t="s">
        <v>66</v>
      </c>
      <c r="E128" t="s">
        <v>16</v>
      </c>
      <c r="F128" t="s">
        <v>227</v>
      </c>
      <c r="H128" t="s">
        <v>67</v>
      </c>
      <c r="I128" t="s">
        <v>266</v>
      </c>
      <c r="J128" t="s">
        <v>222</v>
      </c>
      <c r="K128" t="s">
        <v>223</v>
      </c>
      <c r="L128" t="s">
        <v>77</v>
      </c>
      <c r="M128" t="s">
        <v>267</v>
      </c>
      <c r="N128">
        <f t="shared" si="5"/>
        <v>6</v>
      </c>
      <c r="O128">
        <f t="shared" si="6"/>
        <v>2</v>
      </c>
      <c r="P128" t="str">
        <f t="shared" si="7"/>
        <v>Provided Guidance</v>
      </c>
      <c r="Q128" t="str">
        <f t="shared" si="8"/>
        <v>February</v>
      </c>
      <c r="R128" t="str">
        <f t="shared" si="9"/>
        <v>Week 6</v>
      </c>
    </row>
    <row r="129" spans="1:18" x14ac:dyDescent="0.2">
      <c r="A129" s="11">
        <v>243160</v>
      </c>
      <c r="B129" s="2">
        <v>45327</v>
      </c>
      <c r="C129" t="s">
        <v>65</v>
      </c>
      <c r="D129" t="s">
        <v>66</v>
      </c>
      <c r="E129" t="s">
        <v>20</v>
      </c>
      <c r="F129" t="s">
        <v>21</v>
      </c>
      <c r="G129" t="s">
        <v>22</v>
      </c>
      <c r="H129" t="s">
        <v>67</v>
      </c>
      <c r="I129" t="s">
        <v>268</v>
      </c>
      <c r="J129" t="s">
        <v>222</v>
      </c>
      <c r="K129" t="s">
        <v>223</v>
      </c>
      <c r="L129" t="s">
        <v>70</v>
      </c>
      <c r="M129" t="s">
        <v>269</v>
      </c>
      <c r="N129">
        <f t="shared" si="5"/>
        <v>6</v>
      </c>
      <c r="O129">
        <f t="shared" si="6"/>
        <v>2</v>
      </c>
      <c r="P129" t="str">
        <f t="shared" si="7"/>
        <v>Observed Better</v>
      </c>
      <c r="Q129" t="str">
        <f t="shared" si="8"/>
        <v>February</v>
      </c>
      <c r="R129" t="str">
        <f t="shared" si="9"/>
        <v>Week 6</v>
      </c>
    </row>
    <row r="130" spans="1:18" x14ac:dyDescent="0.2">
      <c r="A130" s="11">
        <v>243164</v>
      </c>
      <c r="B130" s="2">
        <v>45328</v>
      </c>
      <c r="C130" t="s">
        <v>65</v>
      </c>
      <c r="D130" t="s">
        <v>66</v>
      </c>
      <c r="E130" t="s">
        <v>8</v>
      </c>
      <c r="F130" t="s">
        <v>9</v>
      </c>
      <c r="G130" t="s">
        <v>11</v>
      </c>
      <c r="H130" t="s">
        <v>67</v>
      </c>
      <c r="I130" t="s">
        <v>270</v>
      </c>
      <c r="J130" t="s">
        <v>125</v>
      </c>
      <c r="K130" t="s">
        <v>126</v>
      </c>
      <c r="L130" t="s">
        <v>70</v>
      </c>
      <c r="N130">
        <f t="shared" ref="N130:N193" si="10">IF(ISBLANK(B130)," ",WEEKNUM(B130))</f>
        <v>6</v>
      </c>
      <c r="O130">
        <f t="shared" ref="O130:O193" si="11">IF(ISBLANK(B130)," ",MONTH(B130))</f>
        <v>2</v>
      </c>
      <c r="P130" t="str">
        <f t="shared" ref="P130:P193" si="12">IF(ISNUMBER(SEARCH("provided",L130)),"Provided Guidance","Observed Better")</f>
        <v>Observed Better</v>
      </c>
      <c r="Q130" t="str">
        <f t="shared" ref="Q130:Q193" si="13">IF(O130=" "," ",TEXT(O130*29,"mmmm"))</f>
        <v>February</v>
      </c>
      <c r="R130" t="str">
        <f t="shared" ref="R130:R193" si="14">IF(N130=" "," ",_xlfn.CONCAT("Week ",+TEXT(N130,"0")))</f>
        <v>Week 6</v>
      </c>
    </row>
    <row r="131" spans="1:18" x14ac:dyDescent="0.2">
      <c r="A131" s="11">
        <v>243165</v>
      </c>
      <c r="B131" s="2">
        <v>45328</v>
      </c>
      <c r="C131" t="s">
        <v>65</v>
      </c>
      <c r="D131" t="s">
        <v>66</v>
      </c>
      <c r="E131" t="s">
        <v>20</v>
      </c>
      <c r="F131" t="s">
        <v>10</v>
      </c>
      <c r="G131" t="s">
        <v>23</v>
      </c>
      <c r="H131" t="s">
        <v>67</v>
      </c>
      <c r="I131" t="s">
        <v>271</v>
      </c>
      <c r="J131" t="s">
        <v>125</v>
      </c>
      <c r="K131" t="s">
        <v>126</v>
      </c>
      <c r="L131" t="s">
        <v>70</v>
      </c>
      <c r="N131">
        <f t="shared" si="10"/>
        <v>6</v>
      </c>
      <c r="O131">
        <f t="shared" si="11"/>
        <v>2</v>
      </c>
      <c r="P131" t="str">
        <f t="shared" si="12"/>
        <v>Observed Better</v>
      </c>
      <c r="Q131" t="str">
        <f t="shared" si="13"/>
        <v>February</v>
      </c>
      <c r="R131" t="str">
        <f t="shared" si="14"/>
        <v>Week 6</v>
      </c>
    </row>
    <row r="132" spans="1:18" x14ac:dyDescent="0.2">
      <c r="A132" s="11">
        <v>243166</v>
      </c>
      <c r="B132" s="2">
        <v>45328</v>
      </c>
      <c r="C132" t="s">
        <v>65</v>
      </c>
      <c r="D132" t="s">
        <v>66</v>
      </c>
      <c r="E132" t="s">
        <v>8</v>
      </c>
      <c r="F132" t="s">
        <v>9</v>
      </c>
      <c r="G132" t="s">
        <v>203</v>
      </c>
      <c r="H132" t="s">
        <v>67</v>
      </c>
      <c r="I132" t="s">
        <v>272</v>
      </c>
      <c r="J132" t="s">
        <v>125</v>
      </c>
      <c r="K132" t="s">
        <v>126</v>
      </c>
      <c r="L132" t="s">
        <v>70</v>
      </c>
      <c r="N132">
        <f t="shared" si="10"/>
        <v>6</v>
      </c>
      <c r="O132">
        <f t="shared" si="11"/>
        <v>2</v>
      </c>
      <c r="P132" t="str">
        <f t="shared" si="12"/>
        <v>Observed Better</v>
      </c>
      <c r="Q132" t="str">
        <f t="shared" si="13"/>
        <v>February</v>
      </c>
      <c r="R132" t="str">
        <f t="shared" si="14"/>
        <v>Week 6</v>
      </c>
    </row>
    <row r="133" spans="1:18" x14ac:dyDescent="0.2">
      <c r="A133" s="11">
        <v>243167</v>
      </c>
      <c r="B133" s="2">
        <v>45329</v>
      </c>
      <c r="C133" t="s">
        <v>65</v>
      </c>
      <c r="D133" t="s">
        <v>66</v>
      </c>
      <c r="E133" t="s">
        <v>20</v>
      </c>
      <c r="F133" t="s">
        <v>21</v>
      </c>
      <c r="G133" t="s">
        <v>22</v>
      </c>
      <c r="H133" t="s">
        <v>67</v>
      </c>
      <c r="I133" t="s">
        <v>273</v>
      </c>
      <c r="J133" t="s">
        <v>125</v>
      </c>
      <c r="K133" t="s">
        <v>126</v>
      </c>
      <c r="L133" t="s">
        <v>70</v>
      </c>
      <c r="N133">
        <f t="shared" si="10"/>
        <v>6</v>
      </c>
      <c r="O133">
        <f t="shared" si="11"/>
        <v>2</v>
      </c>
      <c r="P133" t="str">
        <f t="shared" si="12"/>
        <v>Observed Better</v>
      </c>
      <c r="Q133" t="str">
        <f t="shared" si="13"/>
        <v>February</v>
      </c>
      <c r="R133" t="str">
        <f t="shared" si="14"/>
        <v>Week 6</v>
      </c>
    </row>
    <row r="134" spans="1:18" x14ac:dyDescent="0.2">
      <c r="A134" s="11">
        <v>243168</v>
      </c>
      <c r="B134" s="2">
        <v>45329</v>
      </c>
      <c r="C134" t="s">
        <v>65</v>
      </c>
      <c r="D134" t="s">
        <v>66</v>
      </c>
      <c r="E134" t="s">
        <v>16</v>
      </c>
      <c r="F134" t="s">
        <v>19</v>
      </c>
      <c r="H134" t="s">
        <v>67</v>
      </c>
      <c r="I134" t="s">
        <v>274</v>
      </c>
      <c r="J134" t="s">
        <v>41</v>
      </c>
      <c r="K134" t="s">
        <v>92</v>
      </c>
      <c r="L134" t="s">
        <v>77</v>
      </c>
      <c r="N134">
        <f t="shared" si="10"/>
        <v>6</v>
      </c>
      <c r="O134">
        <f t="shared" si="11"/>
        <v>2</v>
      </c>
      <c r="P134" t="str">
        <f t="shared" si="12"/>
        <v>Provided Guidance</v>
      </c>
      <c r="Q134" t="str">
        <f t="shared" si="13"/>
        <v>February</v>
      </c>
      <c r="R134" t="str">
        <f t="shared" si="14"/>
        <v>Week 6</v>
      </c>
    </row>
    <row r="135" spans="1:18" x14ac:dyDescent="0.2">
      <c r="A135" s="11">
        <v>243169</v>
      </c>
      <c r="B135" s="2">
        <v>45329</v>
      </c>
      <c r="C135" t="s">
        <v>65</v>
      </c>
      <c r="D135" t="s">
        <v>66</v>
      </c>
      <c r="E135" t="s">
        <v>11</v>
      </c>
      <c r="F135" t="s">
        <v>134</v>
      </c>
      <c r="G135" t="s">
        <v>135</v>
      </c>
      <c r="H135" t="s">
        <v>67</v>
      </c>
      <c r="I135" t="s">
        <v>275</v>
      </c>
      <c r="J135" t="s">
        <v>41</v>
      </c>
      <c r="K135" t="s">
        <v>92</v>
      </c>
      <c r="L135" t="s">
        <v>77</v>
      </c>
      <c r="N135">
        <f t="shared" si="10"/>
        <v>6</v>
      </c>
      <c r="O135">
        <f t="shared" si="11"/>
        <v>2</v>
      </c>
      <c r="P135" t="str">
        <f t="shared" si="12"/>
        <v>Provided Guidance</v>
      </c>
      <c r="Q135" t="str">
        <f t="shared" si="13"/>
        <v>February</v>
      </c>
      <c r="R135" t="str">
        <f t="shared" si="14"/>
        <v>Week 6</v>
      </c>
    </row>
    <row r="136" spans="1:18" x14ac:dyDescent="0.2">
      <c r="A136" s="11">
        <v>243170</v>
      </c>
      <c r="B136" s="2">
        <v>45329</v>
      </c>
      <c r="C136" t="s">
        <v>65</v>
      </c>
      <c r="D136" t="s">
        <v>66</v>
      </c>
      <c r="E136" t="s">
        <v>11</v>
      </c>
      <c r="F136" t="s">
        <v>220</v>
      </c>
      <c r="H136" t="s">
        <v>67</v>
      </c>
      <c r="I136" t="s">
        <v>276</v>
      </c>
      <c r="J136" t="s">
        <v>41</v>
      </c>
      <c r="K136" t="s">
        <v>92</v>
      </c>
      <c r="L136" t="s">
        <v>77</v>
      </c>
      <c r="N136">
        <f t="shared" si="10"/>
        <v>6</v>
      </c>
      <c r="O136">
        <f t="shared" si="11"/>
        <v>2</v>
      </c>
      <c r="P136" t="str">
        <f t="shared" si="12"/>
        <v>Provided Guidance</v>
      </c>
      <c r="Q136" t="str">
        <f t="shared" si="13"/>
        <v>February</v>
      </c>
      <c r="R136" t="str">
        <f t="shared" si="14"/>
        <v>Week 6</v>
      </c>
    </row>
    <row r="137" spans="1:18" x14ac:dyDescent="0.2">
      <c r="A137" s="11">
        <v>243171</v>
      </c>
      <c r="B137" s="2">
        <v>45329</v>
      </c>
      <c r="C137" t="s">
        <v>65</v>
      </c>
      <c r="D137" t="s">
        <v>66</v>
      </c>
      <c r="E137" t="s">
        <v>8</v>
      </c>
      <c r="F137" t="s">
        <v>9</v>
      </c>
      <c r="G137" t="s">
        <v>203</v>
      </c>
      <c r="H137" t="s">
        <v>67</v>
      </c>
      <c r="I137" t="s">
        <v>277</v>
      </c>
      <c r="J137" t="s">
        <v>125</v>
      </c>
      <c r="K137" t="s">
        <v>126</v>
      </c>
      <c r="L137" t="s">
        <v>70</v>
      </c>
      <c r="N137">
        <f t="shared" si="10"/>
        <v>6</v>
      </c>
      <c r="O137">
        <f t="shared" si="11"/>
        <v>2</v>
      </c>
      <c r="P137" t="str">
        <f t="shared" si="12"/>
        <v>Observed Better</v>
      </c>
      <c r="Q137" t="str">
        <f t="shared" si="13"/>
        <v>February</v>
      </c>
      <c r="R137" t="str">
        <f t="shared" si="14"/>
        <v>Week 6</v>
      </c>
    </row>
    <row r="138" spans="1:18" x14ac:dyDescent="0.2">
      <c r="A138" s="11">
        <v>243174</v>
      </c>
      <c r="B138" s="2">
        <v>45330</v>
      </c>
      <c r="C138" t="s">
        <v>65</v>
      </c>
      <c r="D138" t="s">
        <v>66</v>
      </c>
      <c r="E138" t="s">
        <v>20</v>
      </c>
      <c r="F138" t="s">
        <v>235</v>
      </c>
      <c r="H138" t="s">
        <v>67</v>
      </c>
      <c r="I138" t="s">
        <v>278</v>
      </c>
      <c r="J138" t="s">
        <v>37</v>
      </c>
      <c r="K138" t="s">
        <v>69</v>
      </c>
      <c r="L138" t="s">
        <v>70</v>
      </c>
      <c r="N138">
        <f t="shared" si="10"/>
        <v>6</v>
      </c>
      <c r="O138">
        <f t="shared" si="11"/>
        <v>2</v>
      </c>
      <c r="P138" t="str">
        <f t="shared" si="12"/>
        <v>Observed Better</v>
      </c>
      <c r="Q138" t="str">
        <f t="shared" si="13"/>
        <v>February</v>
      </c>
      <c r="R138" t="str">
        <f t="shared" si="14"/>
        <v>Week 6</v>
      </c>
    </row>
    <row r="139" spans="1:18" x14ac:dyDescent="0.2">
      <c r="A139" s="11">
        <v>243175</v>
      </c>
      <c r="B139" s="2">
        <v>45331</v>
      </c>
      <c r="C139" t="s">
        <v>65</v>
      </c>
      <c r="D139" t="s">
        <v>66</v>
      </c>
      <c r="E139" t="s">
        <v>24</v>
      </c>
      <c r="F139" t="s">
        <v>10</v>
      </c>
      <c r="G139" t="s">
        <v>26</v>
      </c>
      <c r="H139" t="s">
        <v>67</v>
      </c>
      <c r="I139" t="s">
        <v>279</v>
      </c>
      <c r="J139" t="s">
        <v>37</v>
      </c>
      <c r="K139" t="s">
        <v>69</v>
      </c>
      <c r="L139" t="s">
        <v>70</v>
      </c>
      <c r="N139">
        <f t="shared" si="10"/>
        <v>6</v>
      </c>
      <c r="O139">
        <f t="shared" si="11"/>
        <v>2</v>
      </c>
      <c r="P139" t="str">
        <f t="shared" si="12"/>
        <v>Observed Better</v>
      </c>
      <c r="Q139" t="str">
        <f t="shared" si="13"/>
        <v>February</v>
      </c>
      <c r="R139" t="str">
        <f t="shared" si="14"/>
        <v>Week 6</v>
      </c>
    </row>
    <row r="140" spans="1:18" x14ac:dyDescent="0.2">
      <c r="A140" s="11">
        <v>243176</v>
      </c>
      <c r="B140" s="2">
        <v>45331</v>
      </c>
      <c r="C140" t="s">
        <v>65</v>
      </c>
      <c r="D140" t="s">
        <v>66</v>
      </c>
      <c r="E140" t="s">
        <v>20</v>
      </c>
      <c r="F140" t="s">
        <v>10</v>
      </c>
      <c r="G140" t="s">
        <v>23</v>
      </c>
      <c r="H140" t="s">
        <v>67</v>
      </c>
      <c r="I140" t="s">
        <v>280</v>
      </c>
      <c r="J140" t="s">
        <v>37</v>
      </c>
      <c r="K140" t="s">
        <v>69</v>
      </c>
      <c r="L140" t="s">
        <v>70</v>
      </c>
      <c r="N140">
        <f t="shared" si="10"/>
        <v>6</v>
      </c>
      <c r="O140">
        <f t="shared" si="11"/>
        <v>2</v>
      </c>
      <c r="P140" t="str">
        <f t="shared" si="12"/>
        <v>Observed Better</v>
      </c>
      <c r="Q140" t="str">
        <f t="shared" si="13"/>
        <v>February</v>
      </c>
      <c r="R140" t="str">
        <f t="shared" si="14"/>
        <v>Week 6</v>
      </c>
    </row>
    <row r="141" spans="1:18" x14ac:dyDescent="0.2">
      <c r="A141" s="11">
        <v>243177</v>
      </c>
      <c r="B141" s="2">
        <v>45331</v>
      </c>
      <c r="C141" t="s">
        <v>65</v>
      </c>
      <c r="D141" t="s">
        <v>66</v>
      </c>
      <c r="E141" t="s">
        <v>8</v>
      </c>
      <c r="F141" t="s">
        <v>9</v>
      </c>
      <c r="G141" t="s">
        <v>10</v>
      </c>
      <c r="H141" t="s">
        <v>67</v>
      </c>
      <c r="I141" t="s">
        <v>281</v>
      </c>
      <c r="J141" t="s">
        <v>40</v>
      </c>
      <c r="K141" t="s">
        <v>76</v>
      </c>
      <c r="L141" t="s">
        <v>70</v>
      </c>
      <c r="M141" t="s">
        <v>282</v>
      </c>
      <c r="N141">
        <f t="shared" si="10"/>
        <v>6</v>
      </c>
      <c r="O141">
        <f t="shared" si="11"/>
        <v>2</v>
      </c>
      <c r="P141" t="str">
        <f t="shared" si="12"/>
        <v>Observed Better</v>
      </c>
      <c r="Q141" t="str">
        <f t="shared" si="13"/>
        <v>February</v>
      </c>
      <c r="R141" t="str">
        <f t="shared" si="14"/>
        <v>Week 6</v>
      </c>
    </row>
    <row r="142" spans="1:18" x14ac:dyDescent="0.2">
      <c r="A142" s="11">
        <v>243178</v>
      </c>
      <c r="B142" s="2">
        <v>45331</v>
      </c>
      <c r="C142" t="s">
        <v>65</v>
      </c>
      <c r="D142" t="s">
        <v>66</v>
      </c>
      <c r="E142" t="s">
        <v>8</v>
      </c>
      <c r="F142" t="s">
        <v>9</v>
      </c>
      <c r="G142" t="s">
        <v>10</v>
      </c>
      <c r="H142" t="s">
        <v>67</v>
      </c>
      <c r="I142" t="s">
        <v>283</v>
      </c>
      <c r="J142" t="s">
        <v>40</v>
      </c>
      <c r="K142" t="s">
        <v>76</v>
      </c>
      <c r="L142" t="s">
        <v>70</v>
      </c>
      <c r="M142" t="s">
        <v>284</v>
      </c>
      <c r="N142">
        <f t="shared" si="10"/>
        <v>6</v>
      </c>
      <c r="O142">
        <f t="shared" si="11"/>
        <v>2</v>
      </c>
      <c r="P142" t="str">
        <f t="shared" si="12"/>
        <v>Observed Better</v>
      </c>
      <c r="Q142" t="str">
        <f t="shared" si="13"/>
        <v>February</v>
      </c>
      <c r="R142" t="str">
        <f t="shared" si="14"/>
        <v>Week 6</v>
      </c>
    </row>
    <row r="143" spans="1:18" x14ac:dyDescent="0.2">
      <c r="A143" s="11">
        <v>243179</v>
      </c>
      <c r="B143" s="2">
        <v>45331</v>
      </c>
      <c r="C143" t="s">
        <v>65</v>
      </c>
      <c r="D143" t="s">
        <v>66</v>
      </c>
      <c r="E143" t="s">
        <v>8</v>
      </c>
      <c r="F143" t="s">
        <v>9</v>
      </c>
      <c r="G143" t="s">
        <v>10</v>
      </c>
      <c r="H143" t="s">
        <v>67</v>
      </c>
      <c r="I143" t="s">
        <v>285</v>
      </c>
      <c r="J143" t="s">
        <v>40</v>
      </c>
      <c r="K143" t="s">
        <v>76</v>
      </c>
      <c r="L143" t="s">
        <v>77</v>
      </c>
      <c r="M143" t="s">
        <v>286</v>
      </c>
      <c r="N143">
        <f t="shared" si="10"/>
        <v>6</v>
      </c>
      <c r="O143">
        <f t="shared" si="11"/>
        <v>2</v>
      </c>
      <c r="P143" t="str">
        <f t="shared" si="12"/>
        <v>Provided Guidance</v>
      </c>
      <c r="Q143" t="str">
        <f t="shared" si="13"/>
        <v>February</v>
      </c>
      <c r="R143" t="str">
        <f t="shared" si="14"/>
        <v>Week 6</v>
      </c>
    </row>
    <row r="144" spans="1:18" x14ac:dyDescent="0.2">
      <c r="A144" s="11">
        <v>243180</v>
      </c>
      <c r="B144" s="2">
        <v>45331</v>
      </c>
      <c r="C144" t="s">
        <v>65</v>
      </c>
      <c r="D144" t="s">
        <v>66</v>
      </c>
      <c r="E144" t="s">
        <v>8</v>
      </c>
      <c r="F144" t="s">
        <v>9</v>
      </c>
      <c r="G144" t="s">
        <v>10</v>
      </c>
      <c r="H144" t="s">
        <v>67</v>
      </c>
      <c r="I144" t="s">
        <v>287</v>
      </c>
      <c r="J144" t="s">
        <v>40</v>
      </c>
      <c r="K144" t="s">
        <v>76</v>
      </c>
      <c r="L144" t="s">
        <v>77</v>
      </c>
      <c r="M144" t="s">
        <v>288</v>
      </c>
      <c r="N144">
        <f t="shared" si="10"/>
        <v>6</v>
      </c>
      <c r="O144">
        <f t="shared" si="11"/>
        <v>2</v>
      </c>
      <c r="P144" t="str">
        <f t="shared" si="12"/>
        <v>Provided Guidance</v>
      </c>
      <c r="Q144" t="str">
        <f t="shared" si="13"/>
        <v>February</v>
      </c>
      <c r="R144" t="str">
        <f t="shared" si="14"/>
        <v>Week 6</v>
      </c>
    </row>
    <row r="145" spans="1:18" x14ac:dyDescent="0.2">
      <c r="A145" s="11">
        <v>243181</v>
      </c>
      <c r="B145" s="2">
        <v>45331</v>
      </c>
      <c r="C145" t="s">
        <v>65</v>
      </c>
      <c r="D145" t="s">
        <v>66</v>
      </c>
      <c r="E145" t="s">
        <v>20</v>
      </c>
      <c r="F145" t="s">
        <v>235</v>
      </c>
      <c r="H145" t="s">
        <v>67</v>
      </c>
      <c r="I145" t="s">
        <v>289</v>
      </c>
      <c r="J145" t="s">
        <v>35</v>
      </c>
      <c r="K145" t="s">
        <v>241</v>
      </c>
      <c r="L145" t="s">
        <v>70</v>
      </c>
      <c r="N145">
        <f t="shared" si="10"/>
        <v>6</v>
      </c>
      <c r="O145">
        <f t="shared" si="11"/>
        <v>2</v>
      </c>
      <c r="P145" t="str">
        <f t="shared" si="12"/>
        <v>Observed Better</v>
      </c>
      <c r="Q145" t="str">
        <f t="shared" si="13"/>
        <v>February</v>
      </c>
      <c r="R145" t="str">
        <f t="shared" si="14"/>
        <v>Week 6</v>
      </c>
    </row>
    <row r="146" spans="1:18" x14ac:dyDescent="0.2">
      <c r="A146" s="11">
        <v>243182</v>
      </c>
      <c r="B146" s="2">
        <v>45331</v>
      </c>
      <c r="C146" t="s">
        <v>65</v>
      </c>
      <c r="D146" t="s">
        <v>66</v>
      </c>
      <c r="E146" t="s">
        <v>16</v>
      </c>
      <c r="F146" t="s">
        <v>94</v>
      </c>
      <c r="H146" t="s">
        <v>67</v>
      </c>
      <c r="I146" t="s">
        <v>290</v>
      </c>
      <c r="J146" t="s">
        <v>35</v>
      </c>
      <c r="K146" t="s">
        <v>241</v>
      </c>
      <c r="L146" t="s">
        <v>77</v>
      </c>
      <c r="N146">
        <f t="shared" si="10"/>
        <v>6</v>
      </c>
      <c r="O146">
        <f t="shared" si="11"/>
        <v>2</v>
      </c>
      <c r="P146" t="str">
        <f t="shared" si="12"/>
        <v>Provided Guidance</v>
      </c>
      <c r="Q146" t="str">
        <f t="shared" si="13"/>
        <v>February</v>
      </c>
      <c r="R146" t="str">
        <f t="shared" si="14"/>
        <v>Week 6</v>
      </c>
    </row>
    <row r="147" spans="1:18" x14ac:dyDescent="0.2">
      <c r="A147" s="11">
        <v>243183</v>
      </c>
      <c r="B147" s="2">
        <v>45331</v>
      </c>
      <c r="C147" t="s">
        <v>65</v>
      </c>
      <c r="D147" t="s">
        <v>66</v>
      </c>
      <c r="E147" t="s">
        <v>20</v>
      </c>
      <c r="F147" t="s">
        <v>21</v>
      </c>
      <c r="G147" t="s">
        <v>22</v>
      </c>
      <c r="H147" t="s">
        <v>67</v>
      </c>
      <c r="I147" t="s">
        <v>291</v>
      </c>
      <c r="J147" t="s">
        <v>35</v>
      </c>
      <c r="K147" t="s">
        <v>241</v>
      </c>
      <c r="L147" t="s">
        <v>70</v>
      </c>
      <c r="N147">
        <f t="shared" si="10"/>
        <v>6</v>
      </c>
      <c r="O147">
        <f t="shared" si="11"/>
        <v>2</v>
      </c>
      <c r="P147" t="str">
        <f t="shared" si="12"/>
        <v>Observed Better</v>
      </c>
      <c r="Q147" t="str">
        <f t="shared" si="13"/>
        <v>February</v>
      </c>
      <c r="R147" t="str">
        <f t="shared" si="14"/>
        <v>Week 6</v>
      </c>
    </row>
    <row r="148" spans="1:18" x14ac:dyDescent="0.2">
      <c r="A148" s="11">
        <v>243184</v>
      </c>
      <c r="B148" s="2">
        <v>45331</v>
      </c>
      <c r="C148" t="s">
        <v>65</v>
      </c>
      <c r="D148" t="s">
        <v>66</v>
      </c>
      <c r="E148" t="s">
        <v>16</v>
      </c>
      <c r="F148" t="s">
        <v>19</v>
      </c>
      <c r="H148" t="s">
        <v>67</v>
      </c>
      <c r="I148" t="s">
        <v>292</v>
      </c>
      <c r="J148" t="s">
        <v>39</v>
      </c>
      <c r="K148" t="s">
        <v>244</v>
      </c>
      <c r="L148" t="s">
        <v>70</v>
      </c>
      <c r="N148">
        <f t="shared" si="10"/>
        <v>6</v>
      </c>
      <c r="O148">
        <f t="shared" si="11"/>
        <v>2</v>
      </c>
      <c r="P148" t="str">
        <f t="shared" si="12"/>
        <v>Observed Better</v>
      </c>
      <c r="Q148" t="str">
        <f t="shared" si="13"/>
        <v>February</v>
      </c>
      <c r="R148" t="str">
        <f t="shared" si="14"/>
        <v>Week 6</v>
      </c>
    </row>
    <row r="149" spans="1:18" x14ac:dyDescent="0.2">
      <c r="A149" s="11">
        <v>243185</v>
      </c>
      <c r="B149" s="2">
        <v>45331</v>
      </c>
      <c r="C149" t="s">
        <v>65</v>
      </c>
      <c r="D149" t="s">
        <v>66</v>
      </c>
      <c r="E149" t="s">
        <v>11</v>
      </c>
      <c r="F149" t="s">
        <v>220</v>
      </c>
      <c r="H149" t="s">
        <v>67</v>
      </c>
      <c r="I149" t="s">
        <v>293</v>
      </c>
      <c r="J149" t="s">
        <v>39</v>
      </c>
      <c r="K149" t="s">
        <v>244</v>
      </c>
      <c r="L149" t="s">
        <v>70</v>
      </c>
      <c r="N149">
        <f t="shared" si="10"/>
        <v>6</v>
      </c>
      <c r="O149">
        <f t="shared" si="11"/>
        <v>2</v>
      </c>
      <c r="P149" t="str">
        <f t="shared" si="12"/>
        <v>Observed Better</v>
      </c>
      <c r="Q149" t="str">
        <f t="shared" si="13"/>
        <v>February</v>
      </c>
      <c r="R149" t="str">
        <f t="shared" si="14"/>
        <v>Week 6</v>
      </c>
    </row>
    <row r="150" spans="1:18" x14ac:dyDescent="0.2">
      <c r="A150" s="11">
        <v>243187</v>
      </c>
      <c r="B150" s="2">
        <v>45331</v>
      </c>
      <c r="C150" t="s">
        <v>65</v>
      </c>
      <c r="D150" t="s">
        <v>66</v>
      </c>
      <c r="E150" t="s">
        <v>20</v>
      </c>
      <c r="F150" t="s">
        <v>21</v>
      </c>
      <c r="G150" t="s">
        <v>22</v>
      </c>
      <c r="H150" t="s">
        <v>67</v>
      </c>
      <c r="I150" t="s">
        <v>294</v>
      </c>
      <c r="J150" t="s">
        <v>34</v>
      </c>
      <c r="K150" t="s">
        <v>295</v>
      </c>
      <c r="L150" t="s">
        <v>77</v>
      </c>
      <c r="N150">
        <f t="shared" si="10"/>
        <v>6</v>
      </c>
      <c r="O150">
        <f t="shared" si="11"/>
        <v>2</v>
      </c>
      <c r="P150" t="str">
        <f t="shared" si="12"/>
        <v>Provided Guidance</v>
      </c>
      <c r="Q150" t="str">
        <f t="shared" si="13"/>
        <v>February</v>
      </c>
      <c r="R150" t="str">
        <f t="shared" si="14"/>
        <v>Week 6</v>
      </c>
    </row>
    <row r="151" spans="1:18" x14ac:dyDescent="0.2">
      <c r="A151" s="11">
        <v>243188</v>
      </c>
      <c r="B151" s="2">
        <v>45331</v>
      </c>
      <c r="C151" t="s">
        <v>65</v>
      </c>
      <c r="D151" t="s">
        <v>66</v>
      </c>
      <c r="E151" t="s">
        <v>8</v>
      </c>
      <c r="F151" t="s">
        <v>9</v>
      </c>
      <c r="G151" t="s">
        <v>11</v>
      </c>
      <c r="H151" t="s">
        <v>67</v>
      </c>
      <c r="I151" t="s">
        <v>296</v>
      </c>
      <c r="J151" t="s">
        <v>251</v>
      </c>
      <c r="K151" t="s">
        <v>252</v>
      </c>
      <c r="L151" t="s">
        <v>70</v>
      </c>
      <c r="N151">
        <f t="shared" si="10"/>
        <v>6</v>
      </c>
      <c r="O151">
        <f t="shared" si="11"/>
        <v>2</v>
      </c>
      <c r="P151" t="str">
        <f t="shared" si="12"/>
        <v>Observed Better</v>
      </c>
      <c r="Q151" t="str">
        <f t="shared" si="13"/>
        <v>February</v>
      </c>
      <c r="R151" t="str">
        <f t="shared" si="14"/>
        <v>Week 6</v>
      </c>
    </row>
    <row r="152" spans="1:18" x14ac:dyDescent="0.2">
      <c r="A152" s="11">
        <v>243189</v>
      </c>
      <c r="B152" s="2">
        <v>45331</v>
      </c>
      <c r="C152" t="s">
        <v>65</v>
      </c>
      <c r="D152" t="s">
        <v>66</v>
      </c>
      <c r="E152" t="s">
        <v>8</v>
      </c>
      <c r="F152" t="s">
        <v>9</v>
      </c>
      <c r="G152" t="s">
        <v>203</v>
      </c>
      <c r="H152" t="s">
        <v>67</v>
      </c>
      <c r="I152" t="s">
        <v>297</v>
      </c>
      <c r="J152" t="s">
        <v>251</v>
      </c>
      <c r="K152" t="s">
        <v>252</v>
      </c>
      <c r="L152" t="s">
        <v>77</v>
      </c>
      <c r="N152">
        <f t="shared" si="10"/>
        <v>6</v>
      </c>
      <c r="O152">
        <f t="shared" si="11"/>
        <v>2</v>
      </c>
      <c r="P152" t="str">
        <f t="shared" si="12"/>
        <v>Provided Guidance</v>
      </c>
      <c r="Q152" t="str">
        <f t="shared" si="13"/>
        <v>February</v>
      </c>
      <c r="R152" t="str">
        <f t="shared" si="14"/>
        <v>Week 6</v>
      </c>
    </row>
    <row r="153" spans="1:18" x14ac:dyDescent="0.2">
      <c r="A153" s="11">
        <v>243190</v>
      </c>
      <c r="B153" s="2">
        <v>45332</v>
      </c>
      <c r="C153" t="s">
        <v>65</v>
      </c>
      <c r="D153" t="s">
        <v>66</v>
      </c>
      <c r="E153" t="s">
        <v>20</v>
      </c>
      <c r="F153" t="s">
        <v>21</v>
      </c>
      <c r="G153" t="s">
        <v>22</v>
      </c>
      <c r="H153" t="s">
        <v>67</v>
      </c>
      <c r="I153" t="s">
        <v>298</v>
      </c>
      <c r="J153" t="s">
        <v>115</v>
      </c>
      <c r="K153" t="s">
        <v>116</v>
      </c>
      <c r="L153" t="s">
        <v>70</v>
      </c>
      <c r="N153">
        <f t="shared" si="10"/>
        <v>6</v>
      </c>
      <c r="O153">
        <f t="shared" si="11"/>
        <v>2</v>
      </c>
      <c r="P153" t="str">
        <f t="shared" si="12"/>
        <v>Observed Better</v>
      </c>
      <c r="Q153" t="str">
        <f t="shared" si="13"/>
        <v>February</v>
      </c>
      <c r="R153" t="str">
        <f t="shared" si="14"/>
        <v>Week 6</v>
      </c>
    </row>
    <row r="154" spans="1:18" x14ac:dyDescent="0.2">
      <c r="A154" s="11">
        <v>243191</v>
      </c>
      <c r="B154" s="2">
        <v>45332</v>
      </c>
      <c r="C154" t="s">
        <v>65</v>
      </c>
      <c r="D154" t="s">
        <v>66</v>
      </c>
      <c r="E154" t="s">
        <v>20</v>
      </c>
      <c r="F154" t="s">
        <v>21</v>
      </c>
      <c r="G154" t="s">
        <v>73</v>
      </c>
      <c r="H154" t="s">
        <v>67</v>
      </c>
      <c r="I154" t="s">
        <v>299</v>
      </c>
      <c r="J154" t="s">
        <v>115</v>
      </c>
      <c r="K154" t="s">
        <v>116</v>
      </c>
      <c r="L154" t="s">
        <v>70</v>
      </c>
      <c r="N154">
        <f t="shared" si="10"/>
        <v>6</v>
      </c>
      <c r="O154">
        <f t="shared" si="11"/>
        <v>2</v>
      </c>
      <c r="P154" t="str">
        <f t="shared" si="12"/>
        <v>Observed Better</v>
      </c>
      <c r="Q154" t="str">
        <f t="shared" si="13"/>
        <v>February</v>
      </c>
      <c r="R154" t="str">
        <f t="shared" si="14"/>
        <v>Week 6</v>
      </c>
    </row>
    <row r="155" spans="1:18" x14ac:dyDescent="0.2">
      <c r="A155" s="11">
        <v>243192</v>
      </c>
      <c r="B155" s="2">
        <v>45333</v>
      </c>
      <c r="C155" t="s">
        <v>65</v>
      </c>
      <c r="D155" t="s">
        <v>66</v>
      </c>
      <c r="E155" t="s">
        <v>20</v>
      </c>
      <c r="F155" t="s">
        <v>21</v>
      </c>
      <c r="G155" t="s">
        <v>22</v>
      </c>
      <c r="H155" t="s">
        <v>67</v>
      </c>
      <c r="I155" t="s">
        <v>300</v>
      </c>
      <c r="J155" t="s">
        <v>222</v>
      </c>
      <c r="K155" t="s">
        <v>223</v>
      </c>
      <c r="L155" t="s">
        <v>70</v>
      </c>
      <c r="M155" t="s">
        <v>301</v>
      </c>
      <c r="N155">
        <f t="shared" si="10"/>
        <v>7</v>
      </c>
      <c r="O155">
        <f t="shared" si="11"/>
        <v>2</v>
      </c>
      <c r="P155" t="str">
        <f t="shared" si="12"/>
        <v>Observed Better</v>
      </c>
      <c r="Q155" t="str">
        <f t="shared" si="13"/>
        <v>February</v>
      </c>
      <c r="R155" t="str">
        <f t="shared" si="14"/>
        <v>Week 7</v>
      </c>
    </row>
    <row r="156" spans="1:18" x14ac:dyDescent="0.2">
      <c r="A156" s="11">
        <v>243193</v>
      </c>
      <c r="B156" s="2">
        <v>45333</v>
      </c>
      <c r="C156" t="s">
        <v>65</v>
      </c>
      <c r="D156" t="s">
        <v>66</v>
      </c>
      <c r="E156" t="s">
        <v>16</v>
      </c>
      <c r="F156" t="s">
        <v>227</v>
      </c>
      <c r="H156" t="s">
        <v>67</v>
      </c>
      <c r="I156" t="s">
        <v>302</v>
      </c>
      <c r="J156" t="s">
        <v>222</v>
      </c>
      <c r="K156" t="s">
        <v>223</v>
      </c>
      <c r="L156" t="s">
        <v>70</v>
      </c>
      <c r="M156" t="s">
        <v>303</v>
      </c>
      <c r="N156">
        <f t="shared" si="10"/>
        <v>7</v>
      </c>
      <c r="O156">
        <f t="shared" si="11"/>
        <v>2</v>
      </c>
      <c r="P156" t="str">
        <f t="shared" si="12"/>
        <v>Observed Better</v>
      </c>
      <c r="Q156" t="str">
        <f t="shared" si="13"/>
        <v>February</v>
      </c>
      <c r="R156" t="str">
        <f t="shared" si="14"/>
        <v>Week 7</v>
      </c>
    </row>
    <row r="157" spans="1:18" x14ac:dyDescent="0.2">
      <c r="A157" s="11">
        <v>243194</v>
      </c>
      <c r="B157" s="2">
        <v>45333</v>
      </c>
      <c r="C157" t="s">
        <v>65</v>
      </c>
      <c r="D157" t="s">
        <v>66</v>
      </c>
      <c r="E157" t="s">
        <v>11</v>
      </c>
      <c r="F157" t="s">
        <v>131</v>
      </c>
      <c r="G157" t="s">
        <v>11</v>
      </c>
      <c r="H157" t="s">
        <v>67</v>
      </c>
      <c r="I157" t="s">
        <v>304</v>
      </c>
      <c r="J157" t="s">
        <v>222</v>
      </c>
      <c r="K157" t="s">
        <v>223</v>
      </c>
      <c r="L157" t="s">
        <v>77</v>
      </c>
      <c r="M157" t="s">
        <v>305</v>
      </c>
      <c r="N157">
        <f t="shared" si="10"/>
        <v>7</v>
      </c>
      <c r="O157">
        <f t="shared" si="11"/>
        <v>2</v>
      </c>
      <c r="P157" t="str">
        <f t="shared" si="12"/>
        <v>Provided Guidance</v>
      </c>
      <c r="Q157" t="str">
        <f t="shared" si="13"/>
        <v>February</v>
      </c>
      <c r="R157" t="str">
        <f t="shared" si="14"/>
        <v>Week 7</v>
      </c>
    </row>
    <row r="158" spans="1:18" x14ac:dyDescent="0.2">
      <c r="A158" s="11">
        <v>243195</v>
      </c>
      <c r="B158" s="2">
        <v>45333</v>
      </c>
      <c r="C158" t="s">
        <v>65</v>
      </c>
      <c r="D158" t="s">
        <v>66</v>
      </c>
      <c r="E158" t="s">
        <v>20</v>
      </c>
      <c r="F158" t="s">
        <v>21</v>
      </c>
      <c r="G158" t="s">
        <v>73</v>
      </c>
      <c r="H158" t="s">
        <v>67</v>
      </c>
      <c r="I158" t="s">
        <v>306</v>
      </c>
      <c r="J158" t="s">
        <v>115</v>
      </c>
      <c r="K158" t="s">
        <v>116</v>
      </c>
      <c r="L158" t="s">
        <v>70</v>
      </c>
      <c r="N158">
        <f t="shared" si="10"/>
        <v>7</v>
      </c>
      <c r="O158">
        <f t="shared" si="11"/>
        <v>2</v>
      </c>
      <c r="P158" t="str">
        <f t="shared" si="12"/>
        <v>Observed Better</v>
      </c>
      <c r="Q158" t="str">
        <f t="shared" si="13"/>
        <v>February</v>
      </c>
      <c r="R158" t="str">
        <f t="shared" si="14"/>
        <v>Week 7</v>
      </c>
    </row>
    <row r="159" spans="1:18" x14ac:dyDescent="0.2">
      <c r="A159" s="11">
        <v>243198</v>
      </c>
      <c r="B159" s="2">
        <v>45336</v>
      </c>
      <c r="C159" t="s">
        <v>65</v>
      </c>
      <c r="D159" t="s">
        <v>66</v>
      </c>
      <c r="E159" t="s">
        <v>8</v>
      </c>
      <c r="F159" t="s">
        <v>9</v>
      </c>
      <c r="G159" t="s">
        <v>203</v>
      </c>
      <c r="H159" t="s">
        <v>67</v>
      </c>
      <c r="I159" t="s">
        <v>307</v>
      </c>
      <c r="J159" t="s">
        <v>125</v>
      </c>
      <c r="K159" t="s">
        <v>126</v>
      </c>
      <c r="L159" t="s">
        <v>70</v>
      </c>
      <c r="N159">
        <f t="shared" si="10"/>
        <v>7</v>
      </c>
      <c r="O159">
        <f t="shared" si="11"/>
        <v>2</v>
      </c>
      <c r="P159" t="str">
        <f t="shared" si="12"/>
        <v>Observed Better</v>
      </c>
      <c r="Q159" t="str">
        <f t="shared" si="13"/>
        <v>February</v>
      </c>
      <c r="R159" t="str">
        <f t="shared" si="14"/>
        <v>Week 7</v>
      </c>
    </row>
    <row r="160" spans="1:18" x14ac:dyDescent="0.2">
      <c r="A160" s="11">
        <v>243199</v>
      </c>
      <c r="B160" s="2">
        <v>45336</v>
      </c>
      <c r="C160" t="s">
        <v>65</v>
      </c>
      <c r="D160" t="s">
        <v>66</v>
      </c>
      <c r="E160" t="s">
        <v>24</v>
      </c>
      <c r="F160" t="s">
        <v>25</v>
      </c>
      <c r="H160" t="s">
        <v>67</v>
      </c>
      <c r="I160" t="s">
        <v>308</v>
      </c>
      <c r="J160" t="s">
        <v>125</v>
      </c>
      <c r="K160" t="s">
        <v>126</v>
      </c>
      <c r="L160" t="s">
        <v>70</v>
      </c>
      <c r="N160">
        <f t="shared" si="10"/>
        <v>7</v>
      </c>
      <c r="O160">
        <f t="shared" si="11"/>
        <v>2</v>
      </c>
      <c r="P160" t="str">
        <f t="shared" si="12"/>
        <v>Observed Better</v>
      </c>
      <c r="Q160" t="str">
        <f t="shared" si="13"/>
        <v>February</v>
      </c>
      <c r="R160" t="str">
        <f t="shared" si="14"/>
        <v>Week 7</v>
      </c>
    </row>
    <row r="161" spans="1:18" x14ac:dyDescent="0.2">
      <c r="A161" s="11">
        <v>243200</v>
      </c>
      <c r="B161" s="2">
        <v>45336</v>
      </c>
      <c r="C161" t="s">
        <v>65</v>
      </c>
      <c r="D161" t="s">
        <v>66</v>
      </c>
      <c r="E161" t="s">
        <v>20</v>
      </c>
      <c r="F161" t="s">
        <v>21</v>
      </c>
      <c r="G161" t="s">
        <v>22</v>
      </c>
      <c r="H161" t="s">
        <v>67</v>
      </c>
      <c r="I161" t="s">
        <v>309</v>
      </c>
      <c r="J161" t="s">
        <v>125</v>
      </c>
      <c r="K161" t="s">
        <v>126</v>
      </c>
      <c r="L161" t="s">
        <v>70</v>
      </c>
      <c r="N161">
        <f t="shared" si="10"/>
        <v>7</v>
      </c>
      <c r="O161">
        <f t="shared" si="11"/>
        <v>2</v>
      </c>
      <c r="P161" t="str">
        <f t="shared" si="12"/>
        <v>Observed Better</v>
      </c>
      <c r="Q161" t="str">
        <f t="shared" si="13"/>
        <v>February</v>
      </c>
      <c r="R161" t="str">
        <f t="shared" si="14"/>
        <v>Week 7</v>
      </c>
    </row>
    <row r="162" spans="1:18" x14ac:dyDescent="0.2">
      <c r="A162" s="11">
        <v>243201</v>
      </c>
      <c r="B162" s="2">
        <v>45336</v>
      </c>
      <c r="C162" t="s">
        <v>65</v>
      </c>
      <c r="D162" t="s">
        <v>66</v>
      </c>
      <c r="E162" t="s">
        <v>11</v>
      </c>
      <c r="F162" t="s">
        <v>220</v>
      </c>
      <c r="H162" t="s">
        <v>67</v>
      </c>
      <c r="I162" t="s">
        <v>310</v>
      </c>
      <c r="J162" t="s">
        <v>125</v>
      </c>
      <c r="K162" t="s">
        <v>126</v>
      </c>
      <c r="L162" t="s">
        <v>70</v>
      </c>
      <c r="N162">
        <f t="shared" si="10"/>
        <v>7</v>
      </c>
      <c r="O162">
        <f t="shared" si="11"/>
        <v>2</v>
      </c>
      <c r="P162" t="str">
        <f t="shared" si="12"/>
        <v>Observed Better</v>
      </c>
      <c r="Q162" t="str">
        <f t="shared" si="13"/>
        <v>February</v>
      </c>
      <c r="R162" t="str">
        <f t="shared" si="14"/>
        <v>Week 7</v>
      </c>
    </row>
    <row r="163" spans="1:18" x14ac:dyDescent="0.2">
      <c r="A163" s="11">
        <v>243207</v>
      </c>
      <c r="B163" s="2">
        <v>45337</v>
      </c>
      <c r="C163" t="s">
        <v>65</v>
      </c>
      <c r="D163" t="s">
        <v>66</v>
      </c>
      <c r="E163" t="s">
        <v>24</v>
      </c>
      <c r="F163" t="s">
        <v>10</v>
      </c>
      <c r="G163" t="s">
        <v>26</v>
      </c>
      <c r="H163" t="s">
        <v>67</v>
      </c>
      <c r="I163" t="s">
        <v>311</v>
      </c>
      <c r="J163" t="s">
        <v>125</v>
      </c>
      <c r="K163" t="s">
        <v>126</v>
      </c>
      <c r="L163" t="s">
        <v>70</v>
      </c>
      <c r="N163">
        <f t="shared" si="10"/>
        <v>7</v>
      </c>
      <c r="O163">
        <f t="shared" si="11"/>
        <v>2</v>
      </c>
      <c r="P163" t="str">
        <f t="shared" si="12"/>
        <v>Observed Better</v>
      </c>
      <c r="Q163" t="str">
        <f t="shared" si="13"/>
        <v>February</v>
      </c>
      <c r="R163" t="str">
        <f t="shared" si="14"/>
        <v>Week 7</v>
      </c>
    </row>
    <row r="164" spans="1:18" x14ac:dyDescent="0.2">
      <c r="A164" s="11">
        <v>243208</v>
      </c>
      <c r="B164" s="2">
        <v>45337</v>
      </c>
      <c r="C164" t="s">
        <v>65</v>
      </c>
      <c r="D164" t="s">
        <v>66</v>
      </c>
      <c r="E164" t="s">
        <v>20</v>
      </c>
      <c r="F164" t="s">
        <v>21</v>
      </c>
      <c r="G164" t="s">
        <v>22</v>
      </c>
      <c r="H164" t="s">
        <v>67</v>
      </c>
      <c r="I164" t="s">
        <v>312</v>
      </c>
      <c r="J164" t="s">
        <v>125</v>
      </c>
      <c r="K164" t="s">
        <v>126</v>
      </c>
      <c r="L164" t="s">
        <v>70</v>
      </c>
      <c r="N164">
        <f t="shared" si="10"/>
        <v>7</v>
      </c>
      <c r="O164">
        <f t="shared" si="11"/>
        <v>2</v>
      </c>
      <c r="P164" t="str">
        <f t="shared" si="12"/>
        <v>Observed Better</v>
      </c>
      <c r="Q164" t="str">
        <f t="shared" si="13"/>
        <v>February</v>
      </c>
      <c r="R164" t="str">
        <f t="shared" si="14"/>
        <v>Week 7</v>
      </c>
    </row>
    <row r="165" spans="1:18" x14ac:dyDescent="0.2">
      <c r="A165" s="11">
        <v>243211</v>
      </c>
      <c r="B165" s="2">
        <v>45337</v>
      </c>
      <c r="C165" t="s">
        <v>65</v>
      </c>
      <c r="D165" t="s">
        <v>66</v>
      </c>
      <c r="E165" t="s">
        <v>20</v>
      </c>
      <c r="F165" t="s">
        <v>21</v>
      </c>
      <c r="G165" t="s">
        <v>73</v>
      </c>
      <c r="H165" t="s">
        <v>67</v>
      </c>
      <c r="I165" t="s">
        <v>313</v>
      </c>
      <c r="J165" t="s">
        <v>43</v>
      </c>
      <c r="K165" t="s">
        <v>141</v>
      </c>
      <c r="L165" t="s">
        <v>70</v>
      </c>
      <c r="N165">
        <f t="shared" si="10"/>
        <v>7</v>
      </c>
      <c r="O165">
        <f t="shared" si="11"/>
        <v>2</v>
      </c>
      <c r="P165" t="str">
        <f t="shared" si="12"/>
        <v>Observed Better</v>
      </c>
      <c r="Q165" t="str">
        <f t="shared" si="13"/>
        <v>February</v>
      </c>
      <c r="R165" t="str">
        <f t="shared" si="14"/>
        <v>Week 7</v>
      </c>
    </row>
    <row r="166" spans="1:18" x14ac:dyDescent="0.2">
      <c r="A166" s="11">
        <v>243212</v>
      </c>
      <c r="B166" s="2">
        <v>45337</v>
      </c>
      <c r="C166" t="s">
        <v>65</v>
      </c>
      <c r="D166" t="s">
        <v>66</v>
      </c>
      <c r="E166" t="s">
        <v>11</v>
      </c>
      <c r="F166" t="s">
        <v>12</v>
      </c>
      <c r="G166" t="s">
        <v>15</v>
      </c>
      <c r="H166" t="s">
        <v>67</v>
      </c>
      <c r="I166" t="s">
        <v>314</v>
      </c>
      <c r="J166" t="s">
        <v>43</v>
      </c>
      <c r="K166" t="s">
        <v>141</v>
      </c>
      <c r="L166" t="s">
        <v>70</v>
      </c>
      <c r="N166">
        <f t="shared" si="10"/>
        <v>7</v>
      </c>
      <c r="O166">
        <f t="shared" si="11"/>
        <v>2</v>
      </c>
      <c r="P166" t="str">
        <f t="shared" si="12"/>
        <v>Observed Better</v>
      </c>
      <c r="Q166" t="str">
        <f t="shared" si="13"/>
        <v>February</v>
      </c>
      <c r="R166" t="str">
        <f t="shared" si="14"/>
        <v>Week 7</v>
      </c>
    </row>
    <row r="167" spans="1:18" x14ac:dyDescent="0.2">
      <c r="A167" s="11">
        <v>243213</v>
      </c>
      <c r="B167" s="2">
        <v>45337</v>
      </c>
      <c r="C167" t="s">
        <v>65</v>
      </c>
      <c r="D167" t="s">
        <v>66</v>
      </c>
      <c r="E167" t="s">
        <v>8</v>
      </c>
      <c r="F167" t="s">
        <v>9</v>
      </c>
      <c r="G167" t="s">
        <v>10</v>
      </c>
      <c r="H167" t="s">
        <v>67</v>
      </c>
      <c r="I167" t="s">
        <v>315</v>
      </c>
      <c r="J167" t="s">
        <v>43</v>
      </c>
      <c r="K167" t="s">
        <v>141</v>
      </c>
      <c r="L167" t="s">
        <v>70</v>
      </c>
      <c r="N167">
        <f t="shared" si="10"/>
        <v>7</v>
      </c>
      <c r="O167">
        <f t="shared" si="11"/>
        <v>2</v>
      </c>
      <c r="P167" t="str">
        <f t="shared" si="12"/>
        <v>Observed Better</v>
      </c>
      <c r="Q167" t="str">
        <f t="shared" si="13"/>
        <v>February</v>
      </c>
      <c r="R167" t="str">
        <f t="shared" si="14"/>
        <v>Week 7</v>
      </c>
    </row>
    <row r="168" spans="1:18" x14ac:dyDescent="0.2">
      <c r="A168" s="11">
        <v>243214</v>
      </c>
      <c r="B168" s="2">
        <v>45338</v>
      </c>
      <c r="C168" t="s">
        <v>65</v>
      </c>
      <c r="D168" t="s">
        <v>66</v>
      </c>
      <c r="E168" t="s">
        <v>16</v>
      </c>
      <c r="F168" t="s">
        <v>227</v>
      </c>
      <c r="H168" t="s">
        <v>67</v>
      </c>
      <c r="I168" t="s">
        <v>316</v>
      </c>
      <c r="J168" t="s">
        <v>37</v>
      </c>
      <c r="K168" t="s">
        <v>69</v>
      </c>
      <c r="L168" t="s">
        <v>70</v>
      </c>
      <c r="N168">
        <f t="shared" si="10"/>
        <v>7</v>
      </c>
      <c r="O168">
        <f t="shared" si="11"/>
        <v>2</v>
      </c>
      <c r="P168" t="str">
        <f t="shared" si="12"/>
        <v>Observed Better</v>
      </c>
      <c r="Q168" t="str">
        <f t="shared" si="13"/>
        <v>February</v>
      </c>
      <c r="R168" t="str">
        <f t="shared" si="14"/>
        <v>Week 7</v>
      </c>
    </row>
    <row r="169" spans="1:18" x14ac:dyDescent="0.2">
      <c r="A169" s="11">
        <v>243215</v>
      </c>
      <c r="B169" s="2">
        <v>45338</v>
      </c>
      <c r="C169" t="s">
        <v>65</v>
      </c>
      <c r="D169" t="s">
        <v>66</v>
      </c>
      <c r="E169" t="s">
        <v>8</v>
      </c>
      <c r="F169" t="s">
        <v>9</v>
      </c>
      <c r="G169" t="s">
        <v>10</v>
      </c>
      <c r="H169" t="s">
        <v>67</v>
      </c>
      <c r="I169" t="s">
        <v>317</v>
      </c>
      <c r="J169" t="s">
        <v>37</v>
      </c>
      <c r="K169" t="s">
        <v>69</v>
      </c>
      <c r="L169" t="s">
        <v>70</v>
      </c>
      <c r="N169">
        <f t="shared" si="10"/>
        <v>7</v>
      </c>
      <c r="O169">
        <f t="shared" si="11"/>
        <v>2</v>
      </c>
      <c r="P169" t="str">
        <f t="shared" si="12"/>
        <v>Observed Better</v>
      </c>
      <c r="Q169" t="str">
        <f t="shared" si="13"/>
        <v>February</v>
      </c>
      <c r="R169" t="str">
        <f t="shared" si="14"/>
        <v>Week 7</v>
      </c>
    </row>
    <row r="170" spans="1:18" x14ac:dyDescent="0.2">
      <c r="A170" s="11">
        <v>243216</v>
      </c>
      <c r="B170" s="2">
        <v>45338</v>
      </c>
      <c r="C170" t="s">
        <v>65</v>
      </c>
      <c r="D170" t="s">
        <v>66</v>
      </c>
      <c r="E170" t="s">
        <v>20</v>
      </c>
      <c r="F170" t="s">
        <v>21</v>
      </c>
      <c r="G170" t="s">
        <v>22</v>
      </c>
      <c r="H170" t="s">
        <v>67</v>
      </c>
      <c r="I170" t="s">
        <v>318</v>
      </c>
      <c r="J170" t="s">
        <v>41</v>
      </c>
      <c r="K170" t="s">
        <v>92</v>
      </c>
      <c r="L170" t="s">
        <v>70</v>
      </c>
      <c r="N170">
        <f t="shared" si="10"/>
        <v>7</v>
      </c>
      <c r="O170">
        <f t="shared" si="11"/>
        <v>2</v>
      </c>
      <c r="P170" t="str">
        <f t="shared" si="12"/>
        <v>Observed Better</v>
      </c>
      <c r="Q170" t="str">
        <f t="shared" si="13"/>
        <v>February</v>
      </c>
      <c r="R170" t="str">
        <f t="shared" si="14"/>
        <v>Week 7</v>
      </c>
    </row>
    <row r="171" spans="1:18" x14ac:dyDescent="0.2">
      <c r="A171" s="11">
        <v>243217</v>
      </c>
      <c r="B171" s="2">
        <v>45338</v>
      </c>
      <c r="C171" t="s">
        <v>65</v>
      </c>
      <c r="D171" t="s">
        <v>66</v>
      </c>
      <c r="E171" t="s">
        <v>20</v>
      </c>
      <c r="F171" t="s">
        <v>21</v>
      </c>
      <c r="G171" t="s">
        <v>73</v>
      </c>
      <c r="H171" t="s">
        <v>67</v>
      </c>
      <c r="I171" t="s">
        <v>319</v>
      </c>
      <c r="J171" t="s">
        <v>41</v>
      </c>
      <c r="K171" t="s">
        <v>92</v>
      </c>
      <c r="L171" t="s">
        <v>70</v>
      </c>
      <c r="N171">
        <f t="shared" si="10"/>
        <v>7</v>
      </c>
      <c r="O171">
        <f t="shared" si="11"/>
        <v>2</v>
      </c>
      <c r="P171" t="str">
        <f t="shared" si="12"/>
        <v>Observed Better</v>
      </c>
      <c r="Q171" t="str">
        <f t="shared" si="13"/>
        <v>February</v>
      </c>
      <c r="R171" t="str">
        <f t="shared" si="14"/>
        <v>Week 7</v>
      </c>
    </row>
    <row r="172" spans="1:18" x14ac:dyDescent="0.2">
      <c r="A172" s="11">
        <v>243218</v>
      </c>
      <c r="B172" s="2">
        <v>45338</v>
      </c>
      <c r="C172" t="s">
        <v>65</v>
      </c>
      <c r="D172" t="s">
        <v>66</v>
      </c>
      <c r="E172" t="s">
        <v>24</v>
      </c>
      <c r="F172" t="s">
        <v>25</v>
      </c>
      <c r="H172" t="s">
        <v>67</v>
      </c>
      <c r="I172" t="s">
        <v>320</v>
      </c>
      <c r="J172" t="s">
        <v>41</v>
      </c>
      <c r="K172" t="s">
        <v>92</v>
      </c>
      <c r="L172" t="s">
        <v>70</v>
      </c>
      <c r="N172">
        <f t="shared" si="10"/>
        <v>7</v>
      </c>
      <c r="O172">
        <f t="shared" si="11"/>
        <v>2</v>
      </c>
      <c r="P172" t="str">
        <f t="shared" si="12"/>
        <v>Observed Better</v>
      </c>
      <c r="Q172" t="str">
        <f t="shared" si="13"/>
        <v>February</v>
      </c>
      <c r="R172" t="str">
        <f t="shared" si="14"/>
        <v>Week 7</v>
      </c>
    </row>
    <row r="173" spans="1:18" x14ac:dyDescent="0.2">
      <c r="A173" s="11">
        <v>243219</v>
      </c>
      <c r="B173" s="2">
        <v>45338</v>
      </c>
      <c r="C173" t="s">
        <v>65</v>
      </c>
      <c r="D173" t="s">
        <v>66</v>
      </c>
      <c r="E173" t="s">
        <v>8</v>
      </c>
      <c r="F173" t="s">
        <v>9</v>
      </c>
      <c r="G173" t="s">
        <v>11</v>
      </c>
      <c r="H173" t="s">
        <v>67</v>
      </c>
      <c r="I173" t="s">
        <v>321</v>
      </c>
      <c r="J173" t="s">
        <v>37</v>
      </c>
      <c r="K173" t="s">
        <v>69</v>
      </c>
      <c r="L173" t="s">
        <v>70</v>
      </c>
      <c r="N173">
        <f t="shared" si="10"/>
        <v>7</v>
      </c>
      <c r="O173">
        <f t="shared" si="11"/>
        <v>2</v>
      </c>
      <c r="P173" t="str">
        <f t="shared" si="12"/>
        <v>Observed Better</v>
      </c>
      <c r="Q173" t="str">
        <f t="shared" si="13"/>
        <v>February</v>
      </c>
      <c r="R173" t="str">
        <f t="shared" si="14"/>
        <v>Week 7</v>
      </c>
    </row>
    <row r="174" spans="1:18" x14ac:dyDescent="0.2">
      <c r="A174" s="11">
        <v>243220</v>
      </c>
      <c r="B174" s="2">
        <v>45338</v>
      </c>
      <c r="C174" t="s">
        <v>65</v>
      </c>
      <c r="D174" t="s">
        <v>66</v>
      </c>
      <c r="E174" t="s">
        <v>8</v>
      </c>
      <c r="F174" t="s">
        <v>9</v>
      </c>
      <c r="G174" t="s">
        <v>203</v>
      </c>
      <c r="H174" t="s">
        <v>67</v>
      </c>
      <c r="I174" t="s">
        <v>322</v>
      </c>
      <c r="J174" t="s">
        <v>40</v>
      </c>
      <c r="K174" t="s">
        <v>76</v>
      </c>
      <c r="L174" t="s">
        <v>70</v>
      </c>
      <c r="M174" t="s">
        <v>323</v>
      </c>
      <c r="N174">
        <f t="shared" si="10"/>
        <v>7</v>
      </c>
      <c r="O174">
        <f t="shared" si="11"/>
        <v>2</v>
      </c>
      <c r="P174" t="str">
        <f t="shared" si="12"/>
        <v>Observed Better</v>
      </c>
      <c r="Q174" t="str">
        <f t="shared" si="13"/>
        <v>February</v>
      </c>
      <c r="R174" t="str">
        <f t="shared" si="14"/>
        <v>Week 7</v>
      </c>
    </row>
    <row r="175" spans="1:18" x14ac:dyDescent="0.2">
      <c r="A175" s="11">
        <v>243221</v>
      </c>
      <c r="B175" s="2">
        <v>45338</v>
      </c>
      <c r="C175" t="s">
        <v>65</v>
      </c>
      <c r="D175" t="s">
        <v>66</v>
      </c>
      <c r="E175" t="s">
        <v>8</v>
      </c>
      <c r="F175" t="s">
        <v>9</v>
      </c>
      <c r="G175" t="s">
        <v>203</v>
      </c>
      <c r="H175" t="s">
        <v>67</v>
      </c>
      <c r="I175" t="s">
        <v>324</v>
      </c>
      <c r="J175" t="s">
        <v>40</v>
      </c>
      <c r="K175" t="s">
        <v>76</v>
      </c>
      <c r="L175" t="s">
        <v>70</v>
      </c>
      <c r="M175" t="s">
        <v>325</v>
      </c>
      <c r="N175">
        <f t="shared" si="10"/>
        <v>7</v>
      </c>
      <c r="O175">
        <f t="shared" si="11"/>
        <v>2</v>
      </c>
      <c r="P175" t="str">
        <f t="shared" si="12"/>
        <v>Observed Better</v>
      </c>
      <c r="Q175" t="str">
        <f t="shared" si="13"/>
        <v>February</v>
      </c>
      <c r="R175" t="str">
        <f t="shared" si="14"/>
        <v>Week 7</v>
      </c>
    </row>
    <row r="176" spans="1:18" x14ac:dyDescent="0.2">
      <c r="A176" s="11">
        <v>243222</v>
      </c>
      <c r="B176" s="2">
        <v>45338</v>
      </c>
      <c r="C176" t="s">
        <v>65</v>
      </c>
      <c r="D176" t="s">
        <v>66</v>
      </c>
      <c r="E176" t="s">
        <v>8</v>
      </c>
      <c r="F176" t="s">
        <v>9</v>
      </c>
      <c r="G176" t="s">
        <v>203</v>
      </c>
      <c r="H176" t="s">
        <v>67</v>
      </c>
      <c r="I176" t="s">
        <v>326</v>
      </c>
      <c r="J176" t="s">
        <v>40</v>
      </c>
      <c r="K176" t="s">
        <v>76</v>
      </c>
      <c r="L176" t="s">
        <v>70</v>
      </c>
      <c r="M176" t="s">
        <v>327</v>
      </c>
      <c r="N176">
        <f t="shared" si="10"/>
        <v>7</v>
      </c>
      <c r="O176">
        <f t="shared" si="11"/>
        <v>2</v>
      </c>
      <c r="P176" t="str">
        <f t="shared" si="12"/>
        <v>Observed Better</v>
      </c>
      <c r="Q176" t="str">
        <f t="shared" si="13"/>
        <v>February</v>
      </c>
      <c r="R176" t="str">
        <f t="shared" si="14"/>
        <v>Week 7</v>
      </c>
    </row>
    <row r="177" spans="1:18" x14ac:dyDescent="0.2">
      <c r="A177" s="11">
        <v>243223</v>
      </c>
      <c r="B177" s="2">
        <v>45338</v>
      </c>
      <c r="C177" t="s">
        <v>65</v>
      </c>
      <c r="D177" t="s">
        <v>66</v>
      </c>
      <c r="E177" t="s">
        <v>8</v>
      </c>
      <c r="F177" t="s">
        <v>9</v>
      </c>
      <c r="G177" t="s">
        <v>203</v>
      </c>
      <c r="H177" t="s">
        <v>67</v>
      </c>
      <c r="I177" t="s">
        <v>328</v>
      </c>
      <c r="J177" t="s">
        <v>40</v>
      </c>
      <c r="K177" t="s">
        <v>76</v>
      </c>
      <c r="L177" t="s">
        <v>70</v>
      </c>
      <c r="M177" t="s">
        <v>329</v>
      </c>
      <c r="N177">
        <f t="shared" si="10"/>
        <v>7</v>
      </c>
      <c r="O177">
        <f t="shared" si="11"/>
        <v>2</v>
      </c>
      <c r="P177" t="str">
        <f t="shared" si="12"/>
        <v>Observed Better</v>
      </c>
      <c r="Q177" t="str">
        <f t="shared" si="13"/>
        <v>February</v>
      </c>
      <c r="R177" t="str">
        <f t="shared" si="14"/>
        <v>Week 7</v>
      </c>
    </row>
    <row r="178" spans="1:18" x14ac:dyDescent="0.2">
      <c r="A178" s="11">
        <v>243224</v>
      </c>
      <c r="B178" s="2">
        <v>45338</v>
      </c>
      <c r="C178" t="s">
        <v>65</v>
      </c>
      <c r="D178" t="s">
        <v>66</v>
      </c>
      <c r="E178" t="s">
        <v>8</v>
      </c>
      <c r="F178" t="s">
        <v>9</v>
      </c>
      <c r="G178" t="s">
        <v>203</v>
      </c>
      <c r="H178" t="s">
        <v>67</v>
      </c>
      <c r="I178" t="s">
        <v>330</v>
      </c>
      <c r="J178" t="s">
        <v>40</v>
      </c>
      <c r="K178" t="s">
        <v>76</v>
      </c>
      <c r="L178" t="s">
        <v>77</v>
      </c>
      <c r="M178" t="s">
        <v>331</v>
      </c>
      <c r="N178">
        <f t="shared" si="10"/>
        <v>7</v>
      </c>
      <c r="O178">
        <f t="shared" si="11"/>
        <v>2</v>
      </c>
      <c r="P178" t="str">
        <f t="shared" si="12"/>
        <v>Provided Guidance</v>
      </c>
      <c r="Q178" t="str">
        <f t="shared" si="13"/>
        <v>February</v>
      </c>
      <c r="R178" t="str">
        <f t="shared" si="14"/>
        <v>Week 7</v>
      </c>
    </row>
    <row r="179" spans="1:18" x14ac:dyDescent="0.2">
      <c r="A179" s="11">
        <v>243225</v>
      </c>
      <c r="B179" s="2">
        <v>45338</v>
      </c>
      <c r="C179" t="s">
        <v>65</v>
      </c>
      <c r="D179" t="s">
        <v>66</v>
      </c>
      <c r="E179" t="s">
        <v>8</v>
      </c>
      <c r="F179" t="s">
        <v>9</v>
      </c>
      <c r="G179" t="s">
        <v>203</v>
      </c>
      <c r="H179" t="s">
        <v>67</v>
      </c>
      <c r="I179" t="s">
        <v>332</v>
      </c>
      <c r="J179" t="s">
        <v>40</v>
      </c>
      <c r="K179" t="s">
        <v>76</v>
      </c>
      <c r="L179" t="s">
        <v>77</v>
      </c>
      <c r="M179" t="s">
        <v>333</v>
      </c>
      <c r="N179">
        <f t="shared" si="10"/>
        <v>7</v>
      </c>
      <c r="O179">
        <f t="shared" si="11"/>
        <v>2</v>
      </c>
      <c r="P179" t="str">
        <f t="shared" si="12"/>
        <v>Provided Guidance</v>
      </c>
      <c r="Q179" t="str">
        <f t="shared" si="13"/>
        <v>February</v>
      </c>
      <c r="R179" t="str">
        <f t="shared" si="14"/>
        <v>Week 7</v>
      </c>
    </row>
    <row r="180" spans="1:18" x14ac:dyDescent="0.2">
      <c r="A180" s="11">
        <v>243226</v>
      </c>
      <c r="B180" s="2">
        <v>45338</v>
      </c>
      <c r="C180" t="s">
        <v>65</v>
      </c>
      <c r="D180" t="s">
        <v>66</v>
      </c>
      <c r="E180" t="s">
        <v>8</v>
      </c>
      <c r="F180" t="s">
        <v>9</v>
      </c>
      <c r="G180" t="s">
        <v>203</v>
      </c>
      <c r="H180" t="s">
        <v>67</v>
      </c>
      <c r="I180" t="s">
        <v>334</v>
      </c>
      <c r="J180" t="s">
        <v>40</v>
      </c>
      <c r="K180" t="s">
        <v>76</v>
      </c>
      <c r="L180" t="s">
        <v>77</v>
      </c>
      <c r="M180" t="s">
        <v>335</v>
      </c>
      <c r="N180">
        <f t="shared" si="10"/>
        <v>7</v>
      </c>
      <c r="O180">
        <f t="shared" si="11"/>
        <v>2</v>
      </c>
      <c r="P180" t="str">
        <f t="shared" si="12"/>
        <v>Provided Guidance</v>
      </c>
      <c r="Q180" t="str">
        <f t="shared" si="13"/>
        <v>February</v>
      </c>
      <c r="R180" t="str">
        <f t="shared" si="14"/>
        <v>Week 7</v>
      </c>
    </row>
    <row r="181" spans="1:18" x14ac:dyDescent="0.2">
      <c r="A181" s="11">
        <v>243227</v>
      </c>
      <c r="B181" s="2">
        <v>45338</v>
      </c>
      <c r="C181" t="s">
        <v>65</v>
      </c>
      <c r="D181" t="s">
        <v>66</v>
      </c>
      <c r="E181" t="s">
        <v>8</v>
      </c>
      <c r="F181" t="s">
        <v>9</v>
      </c>
      <c r="G181" t="s">
        <v>203</v>
      </c>
      <c r="H181" t="s">
        <v>67</v>
      </c>
      <c r="I181" t="s">
        <v>336</v>
      </c>
      <c r="J181" t="s">
        <v>40</v>
      </c>
      <c r="K181" t="s">
        <v>76</v>
      </c>
      <c r="L181" t="s">
        <v>77</v>
      </c>
      <c r="M181" t="s">
        <v>337</v>
      </c>
      <c r="N181">
        <f t="shared" si="10"/>
        <v>7</v>
      </c>
      <c r="O181">
        <f t="shared" si="11"/>
        <v>2</v>
      </c>
      <c r="P181" t="str">
        <f t="shared" si="12"/>
        <v>Provided Guidance</v>
      </c>
      <c r="Q181" t="str">
        <f t="shared" si="13"/>
        <v>February</v>
      </c>
      <c r="R181" t="str">
        <f t="shared" si="14"/>
        <v>Week 7</v>
      </c>
    </row>
    <row r="182" spans="1:18" x14ac:dyDescent="0.2">
      <c r="A182" s="11">
        <v>243228</v>
      </c>
      <c r="B182" s="2">
        <v>45338</v>
      </c>
      <c r="C182" t="s">
        <v>65</v>
      </c>
      <c r="D182" t="s">
        <v>66</v>
      </c>
      <c r="E182" t="s">
        <v>8</v>
      </c>
      <c r="F182" t="s">
        <v>9</v>
      </c>
      <c r="G182" t="s">
        <v>203</v>
      </c>
      <c r="H182" t="s">
        <v>67</v>
      </c>
      <c r="I182" t="s">
        <v>338</v>
      </c>
      <c r="J182" t="s">
        <v>125</v>
      </c>
      <c r="K182" t="s">
        <v>126</v>
      </c>
      <c r="L182" t="s">
        <v>70</v>
      </c>
      <c r="N182">
        <f t="shared" si="10"/>
        <v>7</v>
      </c>
      <c r="O182">
        <f t="shared" si="11"/>
        <v>2</v>
      </c>
      <c r="P182" t="str">
        <f t="shared" si="12"/>
        <v>Observed Better</v>
      </c>
      <c r="Q182" t="str">
        <f t="shared" si="13"/>
        <v>February</v>
      </c>
      <c r="R182" t="str">
        <f t="shared" si="14"/>
        <v>Week 7</v>
      </c>
    </row>
    <row r="183" spans="1:18" x14ac:dyDescent="0.2">
      <c r="A183" s="11">
        <v>243229</v>
      </c>
      <c r="B183" s="2">
        <v>45338</v>
      </c>
      <c r="C183" t="s">
        <v>65</v>
      </c>
      <c r="D183" t="s">
        <v>66</v>
      </c>
      <c r="E183" t="s">
        <v>8</v>
      </c>
      <c r="F183" t="s">
        <v>9</v>
      </c>
      <c r="G183" t="s">
        <v>203</v>
      </c>
      <c r="H183" t="s">
        <v>67</v>
      </c>
      <c r="I183" t="s">
        <v>338</v>
      </c>
      <c r="J183" t="s">
        <v>125</v>
      </c>
      <c r="K183" t="s">
        <v>126</v>
      </c>
      <c r="L183" t="s">
        <v>70</v>
      </c>
      <c r="N183">
        <f t="shared" si="10"/>
        <v>7</v>
      </c>
      <c r="O183">
        <f t="shared" si="11"/>
        <v>2</v>
      </c>
      <c r="P183" t="str">
        <f t="shared" si="12"/>
        <v>Observed Better</v>
      </c>
      <c r="Q183" t="str">
        <f t="shared" si="13"/>
        <v>February</v>
      </c>
      <c r="R183" t="str">
        <f t="shared" si="14"/>
        <v>Week 7</v>
      </c>
    </row>
    <row r="184" spans="1:18" x14ac:dyDescent="0.2">
      <c r="A184" s="11">
        <v>243230</v>
      </c>
      <c r="B184" s="2">
        <v>45338</v>
      </c>
      <c r="C184" t="s">
        <v>65</v>
      </c>
      <c r="D184" t="s">
        <v>66</v>
      </c>
      <c r="E184" t="s">
        <v>8</v>
      </c>
      <c r="F184" t="s">
        <v>9</v>
      </c>
      <c r="G184" t="s">
        <v>203</v>
      </c>
      <c r="H184" t="s">
        <v>67</v>
      </c>
      <c r="I184" t="s">
        <v>338</v>
      </c>
      <c r="J184" t="s">
        <v>125</v>
      </c>
      <c r="K184" t="s">
        <v>126</v>
      </c>
      <c r="L184" t="s">
        <v>70</v>
      </c>
      <c r="N184">
        <f t="shared" si="10"/>
        <v>7</v>
      </c>
      <c r="O184">
        <f t="shared" si="11"/>
        <v>2</v>
      </c>
      <c r="P184" t="str">
        <f t="shared" si="12"/>
        <v>Observed Better</v>
      </c>
      <c r="Q184" t="str">
        <f t="shared" si="13"/>
        <v>February</v>
      </c>
      <c r="R184" t="str">
        <f t="shared" si="14"/>
        <v>Week 7</v>
      </c>
    </row>
    <row r="185" spans="1:18" x14ac:dyDescent="0.2">
      <c r="A185" s="11">
        <v>243231</v>
      </c>
      <c r="B185" s="2">
        <v>45338</v>
      </c>
      <c r="C185" t="s">
        <v>65</v>
      </c>
      <c r="D185" t="s">
        <v>66</v>
      </c>
      <c r="E185" t="s">
        <v>8</v>
      </c>
      <c r="F185" t="s">
        <v>9</v>
      </c>
      <c r="G185" t="s">
        <v>203</v>
      </c>
      <c r="H185" t="s">
        <v>67</v>
      </c>
      <c r="I185" t="s">
        <v>338</v>
      </c>
      <c r="J185" t="s">
        <v>125</v>
      </c>
      <c r="K185" t="s">
        <v>126</v>
      </c>
      <c r="L185" t="s">
        <v>70</v>
      </c>
      <c r="N185">
        <f t="shared" si="10"/>
        <v>7</v>
      </c>
      <c r="O185">
        <f t="shared" si="11"/>
        <v>2</v>
      </c>
      <c r="P185" t="str">
        <f t="shared" si="12"/>
        <v>Observed Better</v>
      </c>
      <c r="Q185" t="str">
        <f t="shared" si="13"/>
        <v>February</v>
      </c>
      <c r="R185" t="str">
        <f t="shared" si="14"/>
        <v>Week 7</v>
      </c>
    </row>
    <row r="186" spans="1:18" x14ac:dyDescent="0.2">
      <c r="A186" s="11">
        <v>243234</v>
      </c>
      <c r="B186" s="2">
        <v>45338</v>
      </c>
      <c r="C186" t="s">
        <v>65</v>
      </c>
      <c r="D186" t="s">
        <v>66</v>
      </c>
      <c r="E186" t="s">
        <v>24</v>
      </c>
      <c r="F186" t="s">
        <v>25</v>
      </c>
      <c r="H186" t="s">
        <v>67</v>
      </c>
      <c r="I186" t="s">
        <v>339</v>
      </c>
      <c r="J186" t="s">
        <v>110</v>
      </c>
      <c r="K186" t="s">
        <v>111</v>
      </c>
      <c r="L186" t="s">
        <v>70</v>
      </c>
      <c r="N186">
        <f t="shared" si="10"/>
        <v>7</v>
      </c>
      <c r="O186">
        <f t="shared" si="11"/>
        <v>2</v>
      </c>
      <c r="P186" t="str">
        <f t="shared" si="12"/>
        <v>Observed Better</v>
      </c>
      <c r="Q186" t="str">
        <f t="shared" si="13"/>
        <v>February</v>
      </c>
      <c r="R186" t="str">
        <f t="shared" si="14"/>
        <v>Week 7</v>
      </c>
    </row>
    <row r="187" spans="1:18" x14ac:dyDescent="0.2">
      <c r="A187" s="11">
        <v>243235</v>
      </c>
      <c r="B187" s="2">
        <v>45338</v>
      </c>
      <c r="C187" t="s">
        <v>65</v>
      </c>
      <c r="D187" t="s">
        <v>66</v>
      </c>
      <c r="E187" t="s">
        <v>24</v>
      </c>
      <c r="F187" t="s">
        <v>25</v>
      </c>
      <c r="H187" t="s">
        <v>67</v>
      </c>
      <c r="I187" t="s">
        <v>339</v>
      </c>
      <c r="J187" t="s">
        <v>110</v>
      </c>
      <c r="K187" t="s">
        <v>111</v>
      </c>
      <c r="L187" t="s">
        <v>70</v>
      </c>
      <c r="N187">
        <f t="shared" si="10"/>
        <v>7</v>
      </c>
      <c r="O187">
        <f t="shared" si="11"/>
        <v>2</v>
      </c>
      <c r="P187" t="str">
        <f t="shared" si="12"/>
        <v>Observed Better</v>
      </c>
      <c r="Q187" t="str">
        <f t="shared" si="13"/>
        <v>February</v>
      </c>
      <c r="R187" t="str">
        <f t="shared" si="14"/>
        <v>Week 7</v>
      </c>
    </row>
    <row r="188" spans="1:18" x14ac:dyDescent="0.2">
      <c r="A188" s="11">
        <v>243236</v>
      </c>
      <c r="B188" s="2">
        <v>45338</v>
      </c>
      <c r="C188" t="s">
        <v>65</v>
      </c>
      <c r="D188" t="s">
        <v>66</v>
      </c>
      <c r="E188" t="s">
        <v>11</v>
      </c>
      <c r="F188" t="s">
        <v>134</v>
      </c>
      <c r="G188" t="s">
        <v>135</v>
      </c>
      <c r="H188" t="s">
        <v>67</v>
      </c>
      <c r="I188" t="s">
        <v>340</v>
      </c>
      <c r="J188" t="s">
        <v>110</v>
      </c>
      <c r="K188" t="s">
        <v>111</v>
      </c>
      <c r="L188" t="s">
        <v>70</v>
      </c>
      <c r="N188">
        <f t="shared" si="10"/>
        <v>7</v>
      </c>
      <c r="O188">
        <f t="shared" si="11"/>
        <v>2</v>
      </c>
      <c r="P188" t="str">
        <f t="shared" si="12"/>
        <v>Observed Better</v>
      </c>
      <c r="Q188" t="str">
        <f t="shared" si="13"/>
        <v>February</v>
      </c>
      <c r="R188" t="str">
        <f t="shared" si="14"/>
        <v>Week 7</v>
      </c>
    </row>
    <row r="189" spans="1:18" x14ac:dyDescent="0.2">
      <c r="A189" s="11">
        <v>243237</v>
      </c>
      <c r="B189" s="2">
        <v>45338</v>
      </c>
      <c r="C189" t="s">
        <v>65</v>
      </c>
      <c r="D189" t="s">
        <v>66</v>
      </c>
      <c r="E189" t="s">
        <v>11</v>
      </c>
      <c r="F189" t="s">
        <v>134</v>
      </c>
      <c r="G189" t="s">
        <v>135</v>
      </c>
      <c r="H189" t="s">
        <v>67</v>
      </c>
      <c r="I189" t="s">
        <v>341</v>
      </c>
      <c r="J189" t="s">
        <v>110</v>
      </c>
      <c r="K189" t="s">
        <v>111</v>
      </c>
      <c r="L189" t="s">
        <v>70</v>
      </c>
      <c r="N189">
        <f t="shared" si="10"/>
        <v>7</v>
      </c>
      <c r="O189">
        <f t="shared" si="11"/>
        <v>2</v>
      </c>
      <c r="P189" t="str">
        <f t="shared" si="12"/>
        <v>Observed Better</v>
      </c>
      <c r="Q189" t="str">
        <f t="shared" si="13"/>
        <v>February</v>
      </c>
      <c r="R189" t="str">
        <f t="shared" si="14"/>
        <v>Week 7</v>
      </c>
    </row>
    <row r="190" spans="1:18" x14ac:dyDescent="0.2">
      <c r="A190" s="11">
        <v>243238</v>
      </c>
      <c r="B190" s="2">
        <v>45338</v>
      </c>
      <c r="C190" t="s">
        <v>65</v>
      </c>
      <c r="D190" t="s">
        <v>66</v>
      </c>
      <c r="E190" t="s">
        <v>11</v>
      </c>
      <c r="F190" t="s">
        <v>134</v>
      </c>
      <c r="G190" t="s">
        <v>135</v>
      </c>
      <c r="H190" t="s">
        <v>67</v>
      </c>
      <c r="I190" t="s">
        <v>342</v>
      </c>
      <c r="J190" t="s">
        <v>38</v>
      </c>
      <c r="K190" t="s">
        <v>97</v>
      </c>
      <c r="L190" t="s">
        <v>70</v>
      </c>
      <c r="M190" t="s">
        <v>343</v>
      </c>
      <c r="N190">
        <f t="shared" si="10"/>
        <v>7</v>
      </c>
      <c r="O190">
        <f t="shared" si="11"/>
        <v>2</v>
      </c>
      <c r="P190" t="str">
        <f t="shared" si="12"/>
        <v>Observed Better</v>
      </c>
      <c r="Q190" t="str">
        <f t="shared" si="13"/>
        <v>February</v>
      </c>
      <c r="R190" t="str">
        <f t="shared" si="14"/>
        <v>Week 7</v>
      </c>
    </row>
    <row r="191" spans="1:18" x14ac:dyDescent="0.2">
      <c r="A191" s="11">
        <v>243239</v>
      </c>
      <c r="B191" s="2">
        <v>45338</v>
      </c>
      <c r="C191" t="s">
        <v>65</v>
      </c>
      <c r="D191" t="s">
        <v>66</v>
      </c>
      <c r="E191" t="s">
        <v>16</v>
      </c>
      <c r="F191" t="s">
        <v>19</v>
      </c>
      <c r="H191" t="s">
        <v>67</v>
      </c>
      <c r="I191" t="s">
        <v>344</v>
      </c>
      <c r="J191" t="s">
        <v>38</v>
      </c>
      <c r="K191" t="s">
        <v>97</v>
      </c>
      <c r="L191" t="s">
        <v>70</v>
      </c>
      <c r="M191" t="s">
        <v>345</v>
      </c>
      <c r="N191">
        <f t="shared" si="10"/>
        <v>7</v>
      </c>
      <c r="O191">
        <f t="shared" si="11"/>
        <v>2</v>
      </c>
      <c r="P191" t="str">
        <f t="shared" si="12"/>
        <v>Observed Better</v>
      </c>
      <c r="Q191" t="str">
        <f t="shared" si="13"/>
        <v>February</v>
      </c>
      <c r="R191" t="str">
        <f t="shared" si="14"/>
        <v>Week 7</v>
      </c>
    </row>
    <row r="192" spans="1:18" x14ac:dyDescent="0.2">
      <c r="A192" s="11">
        <v>243240</v>
      </c>
      <c r="B192" s="2">
        <v>45338</v>
      </c>
      <c r="C192" t="s">
        <v>65</v>
      </c>
      <c r="D192" t="s">
        <v>66</v>
      </c>
      <c r="E192" t="s">
        <v>24</v>
      </c>
      <c r="F192" t="s">
        <v>10</v>
      </c>
      <c r="G192" t="s">
        <v>26</v>
      </c>
      <c r="H192" t="s">
        <v>67</v>
      </c>
      <c r="I192" t="s">
        <v>346</v>
      </c>
      <c r="J192" t="s">
        <v>34</v>
      </c>
      <c r="K192" t="s">
        <v>295</v>
      </c>
      <c r="L192" t="s">
        <v>77</v>
      </c>
      <c r="M192" t="s">
        <v>347</v>
      </c>
      <c r="N192">
        <f t="shared" si="10"/>
        <v>7</v>
      </c>
      <c r="O192">
        <f t="shared" si="11"/>
        <v>2</v>
      </c>
      <c r="P192" t="str">
        <f t="shared" si="12"/>
        <v>Provided Guidance</v>
      </c>
      <c r="Q192" t="str">
        <f t="shared" si="13"/>
        <v>February</v>
      </c>
      <c r="R192" t="str">
        <f t="shared" si="14"/>
        <v>Week 7</v>
      </c>
    </row>
    <row r="193" spans="1:18" x14ac:dyDescent="0.2">
      <c r="A193" s="11">
        <v>243241</v>
      </c>
      <c r="B193" s="2">
        <v>45338</v>
      </c>
      <c r="C193" t="s">
        <v>65</v>
      </c>
      <c r="D193" t="s">
        <v>66</v>
      </c>
      <c r="E193" t="s">
        <v>24</v>
      </c>
      <c r="F193" t="s">
        <v>10</v>
      </c>
      <c r="G193" t="s">
        <v>26</v>
      </c>
      <c r="H193" t="s">
        <v>67</v>
      </c>
      <c r="I193" t="s">
        <v>346</v>
      </c>
      <c r="J193" t="s">
        <v>34</v>
      </c>
      <c r="K193" t="s">
        <v>295</v>
      </c>
      <c r="L193" t="s">
        <v>77</v>
      </c>
      <c r="M193" t="s">
        <v>347</v>
      </c>
      <c r="N193">
        <f t="shared" si="10"/>
        <v>7</v>
      </c>
      <c r="O193">
        <f t="shared" si="11"/>
        <v>2</v>
      </c>
      <c r="P193" t="str">
        <f t="shared" si="12"/>
        <v>Provided Guidance</v>
      </c>
      <c r="Q193" t="str">
        <f t="shared" si="13"/>
        <v>February</v>
      </c>
      <c r="R193" t="str">
        <f t="shared" si="14"/>
        <v>Week 7</v>
      </c>
    </row>
    <row r="194" spans="1:18" x14ac:dyDescent="0.2">
      <c r="A194" s="11">
        <v>243242</v>
      </c>
      <c r="B194" s="2">
        <v>45338</v>
      </c>
      <c r="C194" t="s">
        <v>65</v>
      </c>
      <c r="D194" t="s">
        <v>66</v>
      </c>
      <c r="E194" t="s">
        <v>11</v>
      </c>
      <c r="F194" t="s">
        <v>131</v>
      </c>
      <c r="G194" t="s">
        <v>11</v>
      </c>
      <c r="H194" t="s">
        <v>67</v>
      </c>
      <c r="I194" t="s">
        <v>348</v>
      </c>
      <c r="J194" t="s">
        <v>38</v>
      </c>
      <c r="K194" t="s">
        <v>97</v>
      </c>
      <c r="L194" t="s">
        <v>70</v>
      </c>
      <c r="M194" t="s">
        <v>349</v>
      </c>
      <c r="N194">
        <f t="shared" ref="N194:N257" si="15">IF(ISBLANK(B194)," ",WEEKNUM(B194))</f>
        <v>7</v>
      </c>
      <c r="O194">
        <f t="shared" ref="O194:O257" si="16">IF(ISBLANK(B194)," ",MONTH(B194))</f>
        <v>2</v>
      </c>
      <c r="P194" t="str">
        <f t="shared" ref="P194:P257" si="17">IF(ISNUMBER(SEARCH("provided",L194)),"Provided Guidance","Observed Better")</f>
        <v>Observed Better</v>
      </c>
      <c r="Q194" t="str">
        <f t="shared" ref="Q194:Q257" si="18">IF(O194=" "," ",TEXT(O194*29,"mmmm"))</f>
        <v>February</v>
      </c>
      <c r="R194" t="str">
        <f t="shared" ref="R194:R257" si="19">IF(N194=" "," ",_xlfn.CONCAT("Week ",+TEXT(N194,"0")))</f>
        <v>Week 7</v>
      </c>
    </row>
    <row r="195" spans="1:18" x14ac:dyDescent="0.2">
      <c r="A195" s="11">
        <v>243243</v>
      </c>
      <c r="B195" s="2">
        <v>45338</v>
      </c>
      <c r="C195" t="s">
        <v>65</v>
      </c>
      <c r="D195" t="s">
        <v>66</v>
      </c>
      <c r="E195" t="s">
        <v>16</v>
      </c>
      <c r="F195" t="s">
        <v>94</v>
      </c>
      <c r="H195" t="s">
        <v>67</v>
      </c>
      <c r="I195" t="s">
        <v>350</v>
      </c>
      <c r="J195" t="s">
        <v>38</v>
      </c>
      <c r="K195" t="s">
        <v>97</v>
      </c>
      <c r="L195" t="s">
        <v>70</v>
      </c>
      <c r="M195" t="s">
        <v>351</v>
      </c>
      <c r="N195">
        <f t="shared" si="15"/>
        <v>7</v>
      </c>
      <c r="O195">
        <f t="shared" si="16"/>
        <v>2</v>
      </c>
      <c r="P195" t="str">
        <f t="shared" si="17"/>
        <v>Observed Better</v>
      </c>
      <c r="Q195" t="str">
        <f t="shared" si="18"/>
        <v>February</v>
      </c>
      <c r="R195" t="str">
        <f t="shared" si="19"/>
        <v>Week 7</v>
      </c>
    </row>
    <row r="196" spans="1:18" x14ac:dyDescent="0.2">
      <c r="A196" s="11">
        <v>243244</v>
      </c>
      <c r="B196" s="2">
        <v>45338</v>
      </c>
      <c r="C196" t="s">
        <v>65</v>
      </c>
      <c r="D196" t="s">
        <v>66</v>
      </c>
      <c r="E196" t="s">
        <v>20</v>
      </c>
      <c r="F196" t="s">
        <v>10</v>
      </c>
      <c r="G196" t="s">
        <v>23</v>
      </c>
      <c r="H196" t="s">
        <v>67</v>
      </c>
      <c r="I196" t="s">
        <v>352</v>
      </c>
      <c r="J196" t="s">
        <v>38</v>
      </c>
      <c r="K196" t="s">
        <v>97</v>
      </c>
      <c r="L196" t="s">
        <v>70</v>
      </c>
      <c r="M196" t="s">
        <v>353</v>
      </c>
      <c r="N196">
        <f t="shared" si="15"/>
        <v>7</v>
      </c>
      <c r="O196">
        <f t="shared" si="16"/>
        <v>2</v>
      </c>
      <c r="P196" t="str">
        <f t="shared" si="17"/>
        <v>Observed Better</v>
      </c>
      <c r="Q196" t="str">
        <f t="shared" si="18"/>
        <v>February</v>
      </c>
      <c r="R196" t="str">
        <f t="shared" si="19"/>
        <v>Week 7</v>
      </c>
    </row>
    <row r="197" spans="1:18" x14ac:dyDescent="0.2">
      <c r="A197" s="11">
        <v>243245</v>
      </c>
      <c r="B197" s="2">
        <v>45338</v>
      </c>
      <c r="C197" t="s">
        <v>65</v>
      </c>
      <c r="D197" t="s">
        <v>66</v>
      </c>
      <c r="E197" t="s">
        <v>20</v>
      </c>
      <c r="F197" t="s">
        <v>21</v>
      </c>
      <c r="G197" t="s">
        <v>22</v>
      </c>
      <c r="H197" t="s">
        <v>67</v>
      </c>
      <c r="I197" t="s">
        <v>354</v>
      </c>
      <c r="J197" t="s">
        <v>38</v>
      </c>
      <c r="K197" t="s">
        <v>97</v>
      </c>
      <c r="L197" t="s">
        <v>70</v>
      </c>
      <c r="M197" t="s">
        <v>355</v>
      </c>
      <c r="N197">
        <f t="shared" si="15"/>
        <v>7</v>
      </c>
      <c r="O197">
        <f t="shared" si="16"/>
        <v>2</v>
      </c>
      <c r="P197" t="str">
        <f t="shared" si="17"/>
        <v>Observed Better</v>
      </c>
      <c r="Q197" t="str">
        <f t="shared" si="18"/>
        <v>February</v>
      </c>
      <c r="R197" t="str">
        <f t="shared" si="19"/>
        <v>Week 7</v>
      </c>
    </row>
    <row r="198" spans="1:18" x14ac:dyDescent="0.2">
      <c r="A198" s="11">
        <v>243246</v>
      </c>
      <c r="B198" s="2">
        <v>45338</v>
      </c>
      <c r="C198" t="s">
        <v>65</v>
      </c>
      <c r="D198" t="s">
        <v>66</v>
      </c>
      <c r="E198" t="s">
        <v>8</v>
      </c>
      <c r="F198" t="s">
        <v>9</v>
      </c>
      <c r="G198" t="s">
        <v>10</v>
      </c>
      <c r="H198" t="s">
        <v>67</v>
      </c>
      <c r="I198" t="s">
        <v>356</v>
      </c>
      <c r="J198" t="s">
        <v>34</v>
      </c>
      <c r="K198" t="s">
        <v>295</v>
      </c>
      <c r="L198" t="s">
        <v>77</v>
      </c>
      <c r="M198" t="s">
        <v>357</v>
      </c>
      <c r="N198">
        <f t="shared" si="15"/>
        <v>7</v>
      </c>
      <c r="O198">
        <f t="shared" si="16"/>
        <v>2</v>
      </c>
      <c r="P198" t="str">
        <f t="shared" si="17"/>
        <v>Provided Guidance</v>
      </c>
      <c r="Q198" t="str">
        <f t="shared" si="18"/>
        <v>February</v>
      </c>
      <c r="R198" t="str">
        <f t="shared" si="19"/>
        <v>Week 7</v>
      </c>
    </row>
    <row r="199" spans="1:18" x14ac:dyDescent="0.2">
      <c r="A199" s="11">
        <v>243247</v>
      </c>
      <c r="B199" s="2">
        <v>45338</v>
      </c>
      <c r="C199" t="s">
        <v>65</v>
      </c>
      <c r="D199" t="s">
        <v>66</v>
      </c>
      <c r="E199" t="s">
        <v>8</v>
      </c>
      <c r="F199" t="s">
        <v>9</v>
      </c>
      <c r="G199" t="s">
        <v>10</v>
      </c>
      <c r="H199" t="s">
        <v>67</v>
      </c>
      <c r="I199" t="s">
        <v>356</v>
      </c>
      <c r="J199" t="s">
        <v>34</v>
      </c>
      <c r="K199" t="s">
        <v>295</v>
      </c>
      <c r="L199" t="s">
        <v>77</v>
      </c>
      <c r="M199" t="s">
        <v>357</v>
      </c>
      <c r="N199">
        <f t="shared" si="15"/>
        <v>7</v>
      </c>
      <c r="O199">
        <f t="shared" si="16"/>
        <v>2</v>
      </c>
      <c r="P199" t="str">
        <f t="shared" si="17"/>
        <v>Provided Guidance</v>
      </c>
      <c r="Q199" t="str">
        <f t="shared" si="18"/>
        <v>February</v>
      </c>
      <c r="R199" t="str">
        <f t="shared" si="19"/>
        <v>Week 7</v>
      </c>
    </row>
    <row r="200" spans="1:18" x14ac:dyDescent="0.2">
      <c r="A200" s="11">
        <v>243248</v>
      </c>
      <c r="B200" s="2">
        <v>45338</v>
      </c>
      <c r="C200" t="s">
        <v>65</v>
      </c>
      <c r="D200" t="s">
        <v>66</v>
      </c>
      <c r="E200" t="s">
        <v>8</v>
      </c>
      <c r="F200" t="s">
        <v>9</v>
      </c>
      <c r="G200" t="s">
        <v>10</v>
      </c>
      <c r="H200" t="s">
        <v>67</v>
      </c>
      <c r="I200" t="s">
        <v>356</v>
      </c>
      <c r="J200" t="s">
        <v>34</v>
      </c>
      <c r="K200" t="s">
        <v>295</v>
      </c>
      <c r="L200" t="s">
        <v>77</v>
      </c>
      <c r="M200" t="s">
        <v>357</v>
      </c>
      <c r="N200">
        <f t="shared" si="15"/>
        <v>7</v>
      </c>
      <c r="O200">
        <f t="shared" si="16"/>
        <v>2</v>
      </c>
      <c r="P200" t="str">
        <f t="shared" si="17"/>
        <v>Provided Guidance</v>
      </c>
      <c r="Q200" t="str">
        <f t="shared" si="18"/>
        <v>February</v>
      </c>
      <c r="R200" t="str">
        <f t="shared" si="19"/>
        <v>Week 7</v>
      </c>
    </row>
    <row r="201" spans="1:18" x14ac:dyDescent="0.2">
      <c r="A201" s="11">
        <v>243249</v>
      </c>
      <c r="B201" s="2">
        <v>45338</v>
      </c>
      <c r="C201" t="s">
        <v>65</v>
      </c>
      <c r="D201" t="s">
        <v>66</v>
      </c>
      <c r="E201" t="s">
        <v>20</v>
      </c>
      <c r="F201" t="s">
        <v>21</v>
      </c>
      <c r="G201" t="s">
        <v>22</v>
      </c>
      <c r="H201" t="s">
        <v>67</v>
      </c>
      <c r="I201" t="s">
        <v>358</v>
      </c>
      <c r="J201" t="s">
        <v>43</v>
      </c>
      <c r="K201" t="s">
        <v>141</v>
      </c>
      <c r="L201" t="s">
        <v>70</v>
      </c>
      <c r="N201">
        <f t="shared" si="15"/>
        <v>7</v>
      </c>
      <c r="O201">
        <f t="shared" si="16"/>
        <v>2</v>
      </c>
      <c r="P201" t="str">
        <f t="shared" si="17"/>
        <v>Observed Better</v>
      </c>
      <c r="Q201" t="str">
        <f t="shared" si="18"/>
        <v>February</v>
      </c>
      <c r="R201" t="str">
        <f t="shared" si="19"/>
        <v>Week 7</v>
      </c>
    </row>
    <row r="202" spans="1:18" x14ac:dyDescent="0.2">
      <c r="A202" s="11">
        <v>243252</v>
      </c>
      <c r="B202" s="2">
        <v>45341</v>
      </c>
      <c r="C202" t="s">
        <v>65</v>
      </c>
      <c r="D202" t="s">
        <v>66</v>
      </c>
      <c r="E202" t="s">
        <v>16</v>
      </c>
      <c r="F202" t="s">
        <v>227</v>
      </c>
      <c r="H202" t="s">
        <v>67</v>
      </c>
      <c r="I202" t="s">
        <v>359</v>
      </c>
      <c r="J202" t="s">
        <v>222</v>
      </c>
      <c r="K202" t="s">
        <v>223</v>
      </c>
      <c r="L202" t="s">
        <v>70</v>
      </c>
      <c r="M202" t="s">
        <v>360</v>
      </c>
      <c r="N202">
        <f t="shared" si="15"/>
        <v>8</v>
      </c>
      <c r="O202">
        <f t="shared" si="16"/>
        <v>2</v>
      </c>
      <c r="P202" t="str">
        <f t="shared" si="17"/>
        <v>Observed Better</v>
      </c>
      <c r="Q202" t="str">
        <f t="shared" si="18"/>
        <v>February</v>
      </c>
      <c r="R202" t="str">
        <f t="shared" si="19"/>
        <v>Week 8</v>
      </c>
    </row>
    <row r="203" spans="1:18" x14ac:dyDescent="0.2">
      <c r="A203" s="11">
        <v>243253</v>
      </c>
      <c r="B203" s="2">
        <v>45341</v>
      </c>
      <c r="C203" t="s">
        <v>65</v>
      </c>
      <c r="D203" t="s">
        <v>66</v>
      </c>
      <c r="E203" t="s">
        <v>16</v>
      </c>
      <c r="F203" t="s">
        <v>94</v>
      </c>
      <c r="H203" t="s">
        <v>67</v>
      </c>
      <c r="I203" t="s">
        <v>361</v>
      </c>
      <c r="J203" t="s">
        <v>222</v>
      </c>
      <c r="K203" t="s">
        <v>223</v>
      </c>
      <c r="L203" t="s">
        <v>77</v>
      </c>
      <c r="M203" t="s">
        <v>362</v>
      </c>
      <c r="N203">
        <f t="shared" si="15"/>
        <v>8</v>
      </c>
      <c r="O203">
        <f t="shared" si="16"/>
        <v>2</v>
      </c>
      <c r="P203" t="str">
        <f t="shared" si="17"/>
        <v>Provided Guidance</v>
      </c>
      <c r="Q203" t="str">
        <f t="shared" si="18"/>
        <v>February</v>
      </c>
      <c r="R203" t="str">
        <f t="shared" si="19"/>
        <v>Week 8</v>
      </c>
    </row>
    <row r="204" spans="1:18" x14ac:dyDescent="0.2">
      <c r="A204" s="11">
        <v>243258</v>
      </c>
      <c r="B204" s="2">
        <v>45342</v>
      </c>
      <c r="C204" t="s">
        <v>65</v>
      </c>
      <c r="D204" t="s">
        <v>66</v>
      </c>
      <c r="E204" t="s">
        <v>11</v>
      </c>
      <c r="F204" t="s">
        <v>363</v>
      </c>
      <c r="G204" t="s">
        <v>364</v>
      </c>
      <c r="H204" t="s">
        <v>67</v>
      </c>
      <c r="I204" t="s">
        <v>365</v>
      </c>
      <c r="J204" t="s">
        <v>37</v>
      </c>
      <c r="K204" t="s">
        <v>69</v>
      </c>
      <c r="L204" t="s">
        <v>70</v>
      </c>
      <c r="N204">
        <f t="shared" si="15"/>
        <v>8</v>
      </c>
      <c r="O204">
        <f t="shared" si="16"/>
        <v>2</v>
      </c>
      <c r="P204" t="str">
        <f t="shared" si="17"/>
        <v>Observed Better</v>
      </c>
      <c r="Q204" t="str">
        <f t="shared" si="18"/>
        <v>February</v>
      </c>
      <c r="R204" t="str">
        <f t="shared" si="19"/>
        <v>Week 8</v>
      </c>
    </row>
    <row r="205" spans="1:18" x14ac:dyDescent="0.2">
      <c r="A205" s="11">
        <v>243262</v>
      </c>
      <c r="B205" s="2">
        <v>45343</v>
      </c>
      <c r="C205" t="s">
        <v>65</v>
      </c>
      <c r="D205" t="s">
        <v>66</v>
      </c>
      <c r="E205" t="s">
        <v>20</v>
      </c>
      <c r="F205" t="s">
        <v>21</v>
      </c>
      <c r="G205" t="s">
        <v>22</v>
      </c>
      <c r="H205" t="s">
        <v>67</v>
      </c>
      <c r="I205" t="s">
        <v>366</v>
      </c>
      <c r="J205" t="s">
        <v>125</v>
      </c>
      <c r="K205" t="s">
        <v>126</v>
      </c>
      <c r="L205" t="s">
        <v>70</v>
      </c>
      <c r="N205">
        <f t="shared" si="15"/>
        <v>8</v>
      </c>
      <c r="O205">
        <f t="shared" si="16"/>
        <v>2</v>
      </c>
      <c r="P205" t="str">
        <f t="shared" si="17"/>
        <v>Observed Better</v>
      </c>
      <c r="Q205" t="str">
        <f t="shared" si="18"/>
        <v>February</v>
      </c>
      <c r="R205" t="str">
        <f t="shared" si="19"/>
        <v>Week 8</v>
      </c>
    </row>
    <row r="206" spans="1:18" x14ac:dyDescent="0.2">
      <c r="A206" s="11">
        <v>243263</v>
      </c>
      <c r="B206" s="2">
        <v>45343</v>
      </c>
      <c r="C206" t="s">
        <v>65</v>
      </c>
      <c r="D206" t="s">
        <v>66</v>
      </c>
      <c r="E206" t="s">
        <v>8</v>
      </c>
      <c r="F206" t="s">
        <v>9</v>
      </c>
      <c r="G206" t="s">
        <v>203</v>
      </c>
      <c r="H206" t="s">
        <v>67</v>
      </c>
      <c r="I206" t="s">
        <v>367</v>
      </c>
      <c r="J206" t="s">
        <v>125</v>
      </c>
      <c r="K206" t="s">
        <v>126</v>
      </c>
      <c r="L206" t="s">
        <v>70</v>
      </c>
      <c r="N206">
        <f t="shared" si="15"/>
        <v>8</v>
      </c>
      <c r="O206">
        <f t="shared" si="16"/>
        <v>2</v>
      </c>
      <c r="P206" t="str">
        <f t="shared" si="17"/>
        <v>Observed Better</v>
      </c>
      <c r="Q206" t="str">
        <f t="shared" si="18"/>
        <v>February</v>
      </c>
      <c r="R206" t="str">
        <f t="shared" si="19"/>
        <v>Week 8</v>
      </c>
    </row>
    <row r="207" spans="1:18" x14ac:dyDescent="0.2">
      <c r="A207" s="11">
        <v>243264</v>
      </c>
      <c r="B207" s="2">
        <v>45343</v>
      </c>
      <c r="C207" t="s">
        <v>65</v>
      </c>
      <c r="D207" t="s">
        <v>66</v>
      </c>
      <c r="E207" t="s">
        <v>8</v>
      </c>
      <c r="F207" t="s">
        <v>9</v>
      </c>
      <c r="G207" t="s">
        <v>203</v>
      </c>
      <c r="H207" t="s">
        <v>67</v>
      </c>
      <c r="I207" t="s">
        <v>367</v>
      </c>
      <c r="J207" t="s">
        <v>125</v>
      </c>
      <c r="K207" t="s">
        <v>126</v>
      </c>
      <c r="L207" t="s">
        <v>70</v>
      </c>
      <c r="N207">
        <f t="shared" si="15"/>
        <v>8</v>
      </c>
      <c r="O207">
        <f t="shared" si="16"/>
        <v>2</v>
      </c>
      <c r="P207" t="str">
        <f t="shared" si="17"/>
        <v>Observed Better</v>
      </c>
      <c r="Q207" t="str">
        <f t="shared" si="18"/>
        <v>February</v>
      </c>
      <c r="R207" t="str">
        <f t="shared" si="19"/>
        <v>Week 8</v>
      </c>
    </row>
    <row r="208" spans="1:18" x14ac:dyDescent="0.2">
      <c r="A208" s="11">
        <v>243268</v>
      </c>
      <c r="B208" s="2">
        <v>45344</v>
      </c>
      <c r="C208" t="s">
        <v>65</v>
      </c>
      <c r="D208" t="s">
        <v>66</v>
      </c>
      <c r="E208" t="s">
        <v>8</v>
      </c>
      <c r="F208" t="s">
        <v>9</v>
      </c>
      <c r="G208" t="s">
        <v>10</v>
      </c>
      <c r="H208" t="s">
        <v>67</v>
      </c>
      <c r="I208" t="s">
        <v>368</v>
      </c>
      <c r="J208" t="s">
        <v>125</v>
      </c>
      <c r="K208" t="s">
        <v>126</v>
      </c>
      <c r="L208" t="s">
        <v>70</v>
      </c>
      <c r="N208">
        <f t="shared" si="15"/>
        <v>8</v>
      </c>
      <c r="O208">
        <f t="shared" si="16"/>
        <v>2</v>
      </c>
      <c r="P208" t="str">
        <f t="shared" si="17"/>
        <v>Observed Better</v>
      </c>
      <c r="Q208" t="str">
        <f t="shared" si="18"/>
        <v>February</v>
      </c>
      <c r="R208" t="str">
        <f t="shared" si="19"/>
        <v>Week 8</v>
      </c>
    </row>
    <row r="209" spans="1:18" x14ac:dyDescent="0.2">
      <c r="A209" s="11">
        <v>243269</v>
      </c>
      <c r="B209" s="2">
        <v>45344</v>
      </c>
      <c r="C209" t="s">
        <v>65</v>
      </c>
      <c r="D209" t="s">
        <v>66</v>
      </c>
      <c r="E209" t="s">
        <v>8</v>
      </c>
      <c r="F209" t="s">
        <v>9</v>
      </c>
      <c r="G209" t="s">
        <v>10</v>
      </c>
      <c r="H209" t="s">
        <v>67</v>
      </c>
      <c r="I209" t="s">
        <v>368</v>
      </c>
      <c r="J209" t="s">
        <v>125</v>
      </c>
      <c r="K209" t="s">
        <v>126</v>
      </c>
      <c r="L209" t="s">
        <v>70</v>
      </c>
      <c r="N209">
        <f t="shared" si="15"/>
        <v>8</v>
      </c>
      <c r="O209">
        <f t="shared" si="16"/>
        <v>2</v>
      </c>
      <c r="P209" t="str">
        <f t="shared" si="17"/>
        <v>Observed Better</v>
      </c>
      <c r="Q209" t="str">
        <f t="shared" si="18"/>
        <v>February</v>
      </c>
      <c r="R209" t="str">
        <f t="shared" si="19"/>
        <v>Week 8</v>
      </c>
    </row>
    <row r="210" spans="1:18" x14ac:dyDescent="0.2">
      <c r="A210" s="11">
        <v>243270</v>
      </c>
      <c r="B210" s="2">
        <v>45344</v>
      </c>
      <c r="C210" t="s">
        <v>65</v>
      </c>
      <c r="D210" t="s">
        <v>66</v>
      </c>
      <c r="E210" t="s">
        <v>11</v>
      </c>
      <c r="F210" t="s">
        <v>134</v>
      </c>
      <c r="G210" t="s">
        <v>135</v>
      </c>
      <c r="H210" t="s">
        <v>67</v>
      </c>
      <c r="I210" t="s">
        <v>369</v>
      </c>
      <c r="J210" t="s">
        <v>125</v>
      </c>
      <c r="K210" t="s">
        <v>126</v>
      </c>
      <c r="L210" t="s">
        <v>70</v>
      </c>
      <c r="N210">
        <f t="shared" si="15"/>
        <v>8</v>
      </c>
      <c r="O210">
        <f t="shared" si="16"/>
        <v>2</v>
      </c>
      <c r="P210" t="str">
        <f t="shared" si="17"/>
        <v>Observed Better</v>
      </c>
      <c r="Q210" t="str">
        <f t="shared" si="18"/>
        <v>February</v>
      </c>
      <c r="R210" t="str">
        <f t="shared" si="19"/>
        <v>Week 8</v>
      </c>
    </row>
    <row r="211" spans="1:18" x14ac:dyDescent="0.2">
      <c r="A211" s="11">
        <v>243271</v>
      </c>
      <c r="B211" s="2">
        <v>45344</v>
      </c>
      <c r="C211" t="s">
        <v>65</v>
      </c>
      <c r="D211" t="s">
        <v>66</v>
      </c>
      <c r="E211" t="s">
        <v>11</v>
      </c>
      <c r="F211" t="s">
        <v>134</v>
      </c>
      <c r="G211" t="s">
        <v>135</v>
      </c>
      <c r="H211" t="s">
        <v>67</v>
      </c>
      <c r="I211" t="s">
        <v>369</v>
      </c>
      <c r="J211" t="s">
        <v>125</v>
      </c>
      <c r="K211" t="s">
        <v>126</v>
      </c>
      <c r="L211" t="s">
        <v>70</v>
      </c>
      <c r="N211">
        <f t="shared" si="15"/>
        <v>8</v>
      </c>
      <c r="O211">
        <f t="shared" si="16"/>
        <v>2</v>
      </c>
      <c r="P211" t="str">
        <f t="shared" si="17"/>
        <v>Observed Better</v>
      </c>
      <c r="Q211" t="str">
        <f t="shared" si="18"/>
        <v>February</v>
      </c>
      <c r="R211" t="str">
        <f t="shared" si="19"/>
        <v>Week 8</v>
      </c>
    </row>
    <row r="212" spans="1:18" x14ac:dyDescent="0.2">
      <c r="A212" s="11">
        <v>243275</v>
      </c>
      <c r="B212" s="2">
        <v>45345</v>
      </c>
      <c r="C212" t="s">
        <v>65</v>
      </c>
      <c r="D212" t="s">
        <v>66</v>
      </c>
      <c r="E212" t="s">
        <v>11</v>
      </c>
      <c r="F212" t="s">
        <v>134</v>
      </c>
      <c r="G212" t="s">
        <v>370</v>
      </c>
      <c r="H212" t="s">
        <v>67</v>
      </c>
      <c r="I212" t="s">
        <v>371</v>
      </c>
      <c r="J212" t="s">
        <v>125</v>
      </c>
      <c r="K212" t="s">
        <v>126</v>
      </c>
      <c r="L212" t="s">
        <v>70</v>
      </c>
      <c r="N212">
        <f t="shared" si="15"/>
        <v>8</v>
      </c>
      <c r="O212">
        <f t="shared" si="16"/>
        <v>2</v>
      </c>
      <c r="P212" t="str">
        <f t="shared" si="17"/>
        <v>Observed Better</v>
      </c>
      <c r="Q212" t="str">
        <f t="shared" si="18"/>
        <v>February</v>
      </c>
      <c r="R212" t="str">
        <f t="shared" si="19"/>
        <v>Week 8</v>
      </c>
    </row>
    <row r="213" spans="1:18" x14ac:dyDescent="0.2">
      <c r="A213" s="11">
        <v>243276</v>
      </c>
      <c r="B213" s="2">
        <v>45345</v>
      </c>
      <c r="C213" t="s">
        <v>65</v>
      </c>
      <c r="D213" t="s">
        <v>66</v>
      </c>
      <c r="E213" t="s">
        <v>11</v>
      </c>
      <c r="F213" t="s">
        <v>134</v>
      </c>
      <c r="G213" t="s">
        <v>370</v>
      </c>
      <c r="H213" t="s">
        <v>67</v>
      </c>
      <c r="I213" t="s">
        <v>371</v>
      </c>
      <c r="J213" t="s">
        <v>125</v>
      </c>
      <c r="K213" t="s">
        <v>126</v>
      </c>
      <c r="L213" t="s">
        <v>70</v>
      </c>
      <c r="N213">
        <f t="shared" si="15"/>
        <v>8</v>
      </c>
      <c r="O213">
        <f t="shared" si="16"/>
        <v>2</v>
      </c>
      <c r="P213" t="str">
        <f t="shared" si="17"/>
        <v>Observed Better</v>
      </c>
      <c r="Q213" t="str">
        <f t="shared" si="18"/>
        <v>February</v>
      </c>
      <c r="R213" t="str">
        <f t="shared" si="19"/>
        <v>Week 8</v>
      </c>
    </row>
    <row r="214" spans="1:18" x14ac:dyDescent="0.2">
      <c r="A214" s="11">
        <v>243277</v>
      </c>
      <c r="B214" s="2">
        <v>45345</v>
      </c>
      <c r="C214" t="s">
        <v>65</v>
      </c>
      <c r="D214" t="s">
        <v>66</v>
      </c>
      <c r="E214" t="s">
        <v>8</v>
      </c>
      <c r="F214" t="s">
        <v>9</v>
      </c>
      <c r="G214" t="s">
        <v>10</v>
      </c>
      <c r="H214" t="s">
        <v>67</v>
      </c>
      <c r="I214" t="s">
        <v>372</v>
      </c>
      <c r="J214" t="s">
        <v>40</v>
      </c>
      <c r="K214" t="s">
        <v>76</v>
      </c>
      <c r="L214" t="s">
        <v>77</v>
      </c>
      <c r="M214" t="s">
        <v>373</v>
      </c>
      <c r="N214">
        <f t="shared" si="15"/>
        <v>8</v>
      </c>
      <c r="O214">
        <f t="shared" si="16"/>
        <v>2</v>
      </c>
      <c r="P214" t="str">
        <f t="shared" si="17"/>
        <v>Provided Guidance</v>
      </c>
      <c r="Q214" t="str">
        <f t="shared" si="18"/>
        <v>February</v>
      </c>
      <c r="R214" t="str">
        <f t="shared" si="19"/>
        <v>Week 8</v>
      </c>
    </row>
    <row r="215" spans="1:18" x14ac:dyDescent="0.2">
      <c r="A215" s="11">
        <v>243278</v>
      </c>
      <c r="B215" s="2">
        <v>45345</v>
      </c>
      <c r="C215" t="s">
        <v>65</v>
      </c>
      <c r="D215" t="s">
        <v>66</v>
      </c>
      <c r="E215" t="s">
        <v>20</v>
      </c>
      <c r="F215" t="s">
        <v>10</v>
      </c>
      <c r="G215" t="s">
        <v>23</v>
      </c>
      <c r="H215" t="s">
        <v>67</v>
      </c>
      <c r="I215" t="s">
        <v>374</v>
      </c>
      <c r="J215" t="s">
        <v>40</v>
      </c>
      <c r="K215" t="s">
        <v>76</v>
      </c>
      <c r="L215" t="s">
        <v>70</v>
      </c>
      <c r="M215" t="s">
        <v>375</v>
      </c>
      <c r="N215">
        <f t="shared" si="15"/>
        <v>8</v>
      </c>
      <c r="O215">
        <f t="shared" si="16"/>
        <v>2</v>
      </c>
      <c r="P215" t="str">
        <f t="shared" si="17"/>
        <v>Observed Better</v>
      </c>
      <c r="Q215" t="str">
        <f t="shared" si="18"/>
        <v>February</v>
      </c>
      <c r="R215" t="str">
        <f t="shared" si="19"/>
        <v>Week 8</v>
      </c>
    </row>
    <row r="216" spans="1:18" x14ac:dyDescent="0.2">
      <c r="A216" s="11">
        <v>243279</v>
      </c>
      <c r="B216" s="2">
        <v>45345</v>
      </c>
      <c r="C216" t="s">
        <v>65</v>
      </c>
      <c r="D216" t="s">
        <v>66</v>
      </c>
      <c r="E216" t="s">
        <v>20</v>
      </c>
      <c r="F216" t="s">
        <v>10</v>
      </c>
      <c r="G216" t="s">
        <v>23</v>
      </c>
      <c r="H216" t="s">
        <v>67</v>
      </c>
      <c r="I216" t="s">
        <v>376</v>
      </c>
      <c r="J216" t="s">
        <v>40</v>
      </c>
      <c r="K216" t="s">
        <v>76</v>
      </c>
      <c r="L216" t="s">
        <v>70</v>
      </c>
      <c r="M216" t="s">
        <v>375</v>
      </c>
      <c r="N216">
        <f t="shared" si="15"/>
        <v>8</v>
      </c>
      <c r="O216">
        <f t="shared" si="16"/>
        <v>2</v>
      </c>
      <c r="P216" t="str">
        <f t="shared" si="17"/>
        <v>Observed Better</v>
      </c>
      <c r="Q216" t="str">
        <f t="shared" si="18"/>
        <v>February</v>
      </c>
      <c r="R216" t="str">
        <f t="shared" si="19"/>
        <v>Week 8</v>
      </c>
    </row>
    <row r="217" spans="1:18" x14ac:dyDescent="0.2">
      <c r="A217" s="11">
        <v>243280</v>
      </c>
      <c r="B217" s="2">
        <v>45345</v>
      </c>
      <c r="C217" t="s">
        <v>65</v>
      </c>
      <c r="D217" t="s">
        <v>66</v>
      </c>
      <c r="E217" t="s">
        <v>20</v>
      </c>
      <c r="F217" t="s">
        <v>10</v>
      </c>
      <c r="G217" t="s">
        <v>23</v>
      </c>
      <c r="H217" t="s">
        <v>67</v>
      </c>
      <c r="I217" t="s">
        <v>377</v>
      </c>
      <c r="J217" t="s">
        <v>40</v>
      </c>
      <c r="K217" t="s">
        <v>76</v>
      </c>
      <c r="L217" t="s">
        <v>77</v>
      </c>
      <c r="M217" t="s">
        <v>378</v>
      </c>
      <c r="N217">
        <f t="shared" si="15"/>
        <v>8</v>
      </c>
      <c r="O217">
        <f t="shared" si="16"/>
        <v>2</v>
      </c>
      <c r="P217" t="str">
        <f t="shared" si="17"/>
        <v>Provided Guidance</v>
      </c>
      <c r="Q217" t="str">
        <f t="shared" si="18"/>
        <v>February</v>
      </c>
      <c r="R217" t="str">
        <f t="shared" si="19"/>
        <v>Week 8</v>
      </c>
    </row>
    <row r="218" spans="1:18" x14ac:dyDescent="0.2">
      <c r="A218" s="11">
        <v>243281</v>
      </c>
      <c r="B218" s="2">
        <v>45345</v>
      </c>
      <c r="C218" t="s">
        <v>65</v>
      </c>
      <c r="D218" t="s">
        <v>66</v>
      </c>
      <c r="E218" t="s">
        <v>20</v>
      </c>
      <c r="F218" t="s">
        <v>10</v>
      </c>
      <c r="G218" t="s">
        <v>23</v>
      </c>
      <c r="H218" t="s">
        <v>67</v>
      </c>
      <c r="I218" t="s">
        <v>379</v>
      </c>
      <c r="J218" t="s">
        <v>40</v>
      </c>
      <c r="K218" t="s">
        <v>76</v>
      </c>
      <c r="L218" t="s">
        <v>70</v>
      </c>
      <c r="M218" t="s">
        <v>375</v>
      </c>
      <c r="N218">
        <f t="shared" si="15"/>
        <v>8</v>
      </c>
      <c r="O218">
        <f t="shared" si="16"/>
        <v>2</v>
      </c>
      <c r="P218" t="str">
        <f t="shared" si="17"/>
        <v>Observed Better</v>
      </c>
      <c r="Q218" t="str">
        <f t="shared" si="18"/>
        <v>February</v>
      </c>
      <c r="R218" t="str">
        <f t="shared" si="19"/>
        <v>Week 8</v>
      </c>
    </row>
    <row r="219" spans="1:18" x14ac:dyDescent="0.2">
      <c r="A219" s="11">
        <v>243282</v>
      </c>
      <c r="B219" s="2">
        <v>45345</v>
      </c>
      <c r="C219" t="s">
        <v>65</v>
      </c>
      <c r="D219" t="s">
        <v>66</v>
      </c>
      <c r="E219" t="s">
        <v>20</v>
      </c>
      <c r="F219" t="s">
        <v>10</v>
      </c>
      <c r="G219" t="s">
        <v>23</v>
      </c>
      <c r="H219" t="s">
        <v>67</v>
      </c>
      <c r="I219" t="s">
        <v>380</v>
      </c>
      <c r="J219" t="s">
        <v>40</v>
      </c>
      <c r="K219" t="s">
        <v>76</v>
      </c>
      <c r="L219" t="s">
        <v>70</v>
      </c>
      <c r="M219" t="s">
        <v>375</v>
      </c>
      <c r="N219">
        <f t="shared" si="15"/>
        <v>8</v>
      </c>
      <c r="O219">
        <f t="shared" si="16"/>
        <v>2</v>
      </c>
      <c r="P219" t="str">
        <f t="shared" si="17"/>
        <v>Observed Better</v>
      </c>
      <c r="Q219" t="str">
        <f t="shared" si="18"/>
        <v>February</v>
      </c>
      <c r="R219" t="str">
        <f t="shared" si="19"/>
        <v>Week 8</v>
      </c>
    </row>
    <row r="220" spans="1:18" x14ac:dyDescent="0.2">
      <c r="A220" s="11">
        <v>243283</v>
      </c>
      <c r="B220" s="2">
        <v>45345</v>
      </c>
      <c r="C220" t="s">
        <v>65</v>
      </c>
      <c r="D220" t="s">
        <v>66</v>
      </c>
      <c r="E220" t="s">
        <v>20</v>
      </c>
      <c r="F220" t="s">
        <v>10</v>
      </c>
      <c r="G220" t="s">
        <v>23</v>
      </c>
      <c r="H220" t="s">
        <v>67</v>
      </c>
      <c r="I220" t="s">
        <v>381</v>
      </c>
      <c r="J220" t="s">
        <v>40</v>
      </c>
      <c r="K220" t="s">
        <v>76</v>
      </c>
      <c r="L220" t="s">
        <v>70</v>
      </c>
      <c r="M220" t="s">
        <v>382</v>
      </c>
      <c r="N220">
        <f t="shared" si="15"/>
        <v>8</v>
      </c>
      <c r="O220">
        <f t="shared" si="16"/>
        <v>2</v>
      </c>
      <c r="P220" t="str">
        <f t="shared" si="17"/>
        <v>Observed Better</v>
      </c>
      <c r="Q220" t="str">
        <f t="shared" si="18"/>
        <v>February</v>
      </c>
      <c r="R220" t="str">
        <f t="shared" si="19"/>
        <v>Week 8</v>
      </c>
    </row>
    <row r="221" spans="1:18" x14ac:dyDescent="0.2">
      <c r="A221" s="11">
        <v>243284</v>
      </c>
      <c r="B221" s="2">
        <v>45345</v>
      </c>
      <c r="C221" t="s">
        <v>65</v>
      </c>
      <c r="D221" t="s">
        <v>66</v>
      </c>
      <c r="E221" t="s">
        <v>20</v>
      </c>
      <c r="F221" t="s">
        <v>10</v>
      </c>
      <c r="G221" t="s">
        <v>23</v>
      </c>
      <c r="H221" t="s">
        <v>67</v>
      </c>
      <c r="I221" t="s">
        <v>383</v>
      </c>
      <c r="J221" t="s">
        <v>40</v>
      </c>
      <c r="K221" t="s">
        <v>76</v>
      </c>
      <c r="L221" t="s">
        <v>70</v>
      </c>
      <c r="N221">
        <f t="shared" si="15"/>
        <v>8</v>
      </c>
      <c r="O221">
        <f t="shared" si="16"/>
        <v>2</v>
      </c>
      <c r="P221" t="str">
        <f t="shared" si="17"/>
        <v>Observed Better</v>
      </c>
      <c r="Q221" t="str">
        <f t="shared" si="18"/>
        <v>February</v>
      </c>
      <c r="R221" t="str">
        <f t="shared" si="19"/>
        <v>Week 8</v>
      </c>
    </row>
    <row r="222" spans="1:18" x14ac:dyDescent="0.2">
      <c r="A222" s="11">
        <v>243285</v>
      </c>
      <c r="B222" s="2">
        <v>45345</v>
      </c>
      <c r="C222" t="s">
        <v>65</v>
      </c>
      <c r="D222" t="s">
        <v>66</v>
      </c>
      <c r="E222" t="s">
        <v>20</v>
      </c>
      <c r="F222" t="s">
        <v>10</v>
      </c>
      <c r="G222" t="s">
        <v>23</v>
      </c>
      <c r="H222" t="s">
        <v>67</v>
      </c>
      <c r="I222" t="s">
        <v>384</v>
      </c>
      <c r="J222" t="s">
        <v>40</v>
      </c>
      <c r="K222" t="s">
        <v>76</v>
      </c>
      <c r="L222" t="s">
        <v>70</v>
      </c>
      <c r="M222" t="s">
        <v>385</v>
      </c>
      <c r="N222">
        <f t="shared" si="15"/>
        <v>8</v>
      </c>
      <c r="O222">
        <f t="shared" si="16"/>
        <v>2</v>
      </c>
      <c r="P222" t="str">
        <f t="shared" si="17"/>
        <v>Observed Better</v>
      </c>
      <c r="Q222" t="str">
        <f t="shared" si="18"/>
        <v>February</v>
      </c>
      <c r="R222" t="str">
        <f t="shared" si="19"/>
        <v>Week 8</v>
      </c>
    </row>
    <row r="223" spans="1:18" x14ac:dyDescent="0.2">
      <c r="A223" s="11">
        <v>243286</v>
      </c>
      <c r="B223" s="2">
        <v>45345</v>
      </c>
      <c r="C223" t="s">
        <v>65</v>
      </c>
      <c r="D223" t="s">
        <v>66</v>
      </c>
      <c r="E223" t="s">
        <v>20</v>
      </c>
      <c r="F223" t="s">
        <v>10</v>
      </c>
      <c r="G223" t="s">
        <v>23</v>
      </c>
      <c r="H223" t="s">
        <v>67</v>
      </c>
      <c r="I223" t="s">
        <v>386</v>
      </c>
      <c r="J223" t="s">
        <v>40</v>
      </c>
      <c r="K223" t="s">
        <v>76</v>
      </c>
      <c r="L223" t="s">
        <v>70</v>
      </c>
      <c r="M223" t="s">
        <v>387</v>
      </c>
      <c r="N223">
        <f t="shared" si="15"/>
        <v>8</v>
      </c>
      <c r="O223">
        <f t="shared" si="16"/>
        <v>2</v>
      </c>
      <c r="P223" t="str">
        <f t="shared" si="17"/>
        <v>Observed Better</v>
      </c>
      <c r="Q223" t="str">
        <f t="shared" si="18"/>
        <v>February</v>
      </c>
      <c r="R223" t="str">
        <f t="shared" si="19"/>
        <v>Week 8</v>
      </c>
    </row>
    <row r="224" spans="1:18" x14ac:dyDescent="0.2">
      <c r="A224" s="11">
        <v>243287</v>
      </c>
      <c r="B224" s="2">
        <v>45345</v>
      </c>
      <c r="C224" t="s">
        <v>65</v>
      </c>
      <c r="D224" t="s">
        <v>66</v>
      </c>
      <c r="E224" t="s">
        <v>20</v>
      </c>
      <c r="F224" t="s">
        <v>10</v>
      </c>
      <c r="G224" t="s">
        <v>23</v>
      </c>
      <c r="H224" t="s">
        <v>67</v>
      </c>
      <c r="I224" t="s">
        <v>388</v>
      </c>
      <c r="J224" t="s">
        <v>40</v>
      </c>
      <c r="K224" t="s">
        <v>76</v>
      </c>
      <c r="L224" t="s">
        <v>70</v>
      </c>
      <c r="M224" t="s">
        <v>389</v>
      </c>
      <c r="N224">
        <f t="shared" si="15"/>
        <v>8</v>
      </c>
      <c r="O224">
        <f t="shared" si="16"/>
        <v>2</v>
      </c>
      <c r="P224" t="str">
        <f t="shared" si="17"/>
        <v>Observed Better</v>
      </c>
      <c r="Q224" t="str">
        <f t="shared" si="18"/>
        <v>February</v>
      </c>
      <c r="R224" t="str">
        <f t="shared" si="19"/>
        <v>Week 8</v>
      </c>
    </row>
    <row r="225" spans="1:18" x14ac:dyDescent="0.2">
      <c r="A225" s="11">
        <v>243288</v>
      </c>
      <c r="B225" s="2">
        <v>45345</v>
      </c>
      <c r="C225" t="s">
        <v>65</v>
      </c>
      <c r="D225" t="s">
        <v>66</v>
      </c>
      <c r="E225" t="s">
        <v>20</v>
      </c>
      <c r="F225" t="s">
        <v>10</v>
      </c>
      <c r="G225" t="s">
        <v>23</v>
      </c>
      <c r="H225" t="s">
        <v>67</v>
      </c>
      <c r="I225" t="s">
        <v>390</v>
      </c>
      <c r="J225" t="s">
        <v>40</v>
      </c>
      <c r="K225" t="s">
        <v>76</v>
      </c>
      <c r="L225" t="s">
        <v>70</v>
      </c>
      <c r="M225" t="s">
        <v>391</v>
      </c>
      <c r="N225">
        <f t="shared" si="15"/>
        <v>8</v>
      </c>
      <c r="O225">
        <f t="shared" si="16"/>
        <v>2</v>
      </c>
      <c r="P225" t="str">
        <f t="shared" si="17"/>
        <v>Observed Better</v>
      </c>
      <c r="Q225" t="str">
        <f t="shared" si="18"/>
        <v>February</v>
      </c>
      <c r="R225" t="str">
        <f t="shared" si="19"/>
        <v>Week 8</v>
      </c>
    </row>
    <row r="226" spans="1:18" x14ac:dyDescent="0.2">
      <c r="A226" s="11">
        <v>243289</v>
      </c>
      <c r="B226" s="2">
        <v>45345</v>
      </c>
      <c r="C226" t="s">
        <v>65</v>
      </c>
      <c r="D226" t="s">
        <v>66</v>
      </c>
      <c r="E226" t="s">
        <v>20</v>
      </c>
      <c r="F226" t="s">
        <v>10</v>
      </c>
      <c r="G226" t="s">
        <v>23</v>
      </c>
      <c r="H226" t="s">
        <v>67</v>
      </c>
      <c r="I226" t="s">
        <v>392</v>
      </c>
      <c r="J226" t="s">
        <v>40</v>
      </c>
      <c r="K226" t="s">
        <v>76</v>
      </c>
      <c r="L226" t="s">
        <v>70</v>
      </c>
      <c r="M226" t="s">
        <v>393</v>
      </c>
      <c r="N226">
        <f t="shared" si="15"/>
        <v>8</v>
      </c>
      <c r="O226">
        <f t="shared" si="16"/>
        <v>2</v>
      </c>
      <c r="P226" t="str">
        <f t="shared" si="17"/>
        <v>Observed Better</v>
      </c>
      <c r="Q226" t="str">
        <f t="shared" si="18"/>
        <v>February</v>
      </c>
      <c r="R226" t="str">
        <f t="shared" si="19"/>
        <v>Week 8</v>
      </c>
    </row>
    <row r="227" spans="1:18" x14ac:dyDescent="0.2">
      <c r="A227" s="11">
        <v>243290</v>
      </c>
      <c r="B227" s="2">
        <v>45345</v>
      </c>
      <c r="C227" t="s">
        <v>65</v>
      </c>
      <c r="D227" t="s">
        <v>66</v>
      </c>
      <c r="E227" t="s">
        <v>20</v>
      </c>
      <c r="F227" t="s">
        <v>10</v>
      </c>
      <c r="G227" t="s">
        <v>23</v>
      </c>
      <c r="H227" t="s">
        <v>67</v>
      </c>
      <c r="I227" t="s">
        <v>394</v>
      </c>
      <c r="J227" t="s">
        <v>40</v>
      </c>
      <c r="K227" t="s">
        <v>76</v>
      </c>
      <c r="L227" t="s">
        <v>70</v>
      </c>
      <c r="M227" t="s">
        <v>395</v>
      </c>
      <c r="N227">
        <f t="shared" si="15"/>
        <v>8</v>
      </c>
      <c r="O227">
        <f t="shared" si="16"/>
        <v>2</v>
      </c>
      <c r="P227" t="str">
        <f t="shared" si="17"/>
        <v>Observed Better</v>
      </c>
      <c r="Q227" t="str">
        <f t="shared" si="18"/>
        <v>February</v>
      </c>
      <c r="R227" t="str">
        <f t="shared" si="19"/>
        <v>Week 8</v>
      </c>
    </row>
    <row r="228" spans="1:18" x14ac:dyDescent="0.2">
      <c r="A228" s="11">
        <v>243291</v>
      </c>
      <c r="B228" s="2">
        <v>45345</v>
      </c>
      <c r="C228" t="s">
        <v>65</v>
      </c>
      <c r="D228" t="s">
        <v>66</v>
      </c>
      <c r="E228" t="s">
        <v>20</v>
      </c>
      <c r="F228" t="s">
        <v>10</v>
      </c>
      <c r="G228" t="s">
        <v>23</v>
      </c>
      <c r="H228" t="s">
        <v>67</v>
      </c>
      <c r="I228" t="s">
        <v>396</v>
      </c>
      <c r="J228" t="s">
        <v>40</v>
      </c>
      <c r="K228" t="s">
        <v>76</v>
      </c>
      <c r="L228" t="s">
        <v>70</v>
      </c>
      <c r="M228" t="s">
        <v>397</v>
      </c>
      <c r="N228">
        <f t="shared" si="15"/>
        <v>8</v>
      </c>
      <c r="O228">
        <f t="shared" si="16"/>
        <v>2</v>
      </c>
      <c r="P228" t="str">
        <f t="shared" si="17"/>
        <v>Observed Better</v>
      </c>
      <c r="Q228" t="str">
        <f t="shared" si="18"/>
        <v>February</v>
      </c>
      <c r="R228" t="str">
        <f t="shared" si="19"/>
        <v>Week 8</v>
      </c>
    </row>
    <row r="229" spans="1:18" x14ac:dyDescent="0.2">
      <c r="A229" s="11">
        <v>243292</v>
      </c>
      <c r="B229" s="2">
        <v>45345</v>
      </c>
      <c r="C229" t="s">
        <v>65</v>
      </c>
      <c r="D229" t="s">
        <v>66</v>
      </c>
      <c r="E229" t="s">
        <v>20</v>
      </c>
      <c r="F229" t="s">
        <v>10</v>
      </c>
      <c r="G229" t="s">
        <v>23</v>
      </c>
      <c r="H229" t="s">
        <v>67</v>
      </c>
      <c r="I229" t="s">
        <v>398</v>
      </c>
      <c r="J229" t="s">
        <v>40</v>
      </c>
      <c r="K229" t="s">
        <v>76</v>
      </c>
      <c r="L229" t="s">
        <v>70</v>
      </c>
      <c r="M229" t="s">
        <v>399</v>
      </c>
      <c r="N229">
        <f t="shared" si="15"/>
        <v>8</v>
      </c>
      <c r="O229">
        <f t="shared" si="16"/>
        <v>2</v>
      </c>
      <c r="P229" t="str">
        <f t="shared" si="17"/>
        <v>Observed Better</v>
      </c>
      <c r="Q229" t="str">
        <f t="shared" si="18"/>
        <v>February</v>
      </c>
      <c r="R229" t="str">
        <f t="shared" si="19"/>
        <v>Week 8</v>
      </c>
    </row>
    <row r="230" spans="1:18" x14ac:dyDescent="0.2">
      <c r="A230" s="11">
        <v>243293</v>
      </c>
      <c r="B230" s="2">
        <v>45345</v>
      </c>
      <c r="C230" t="s">
        <v>65</v>
      </c>
      <c r="D230" t="s">
        <v>66</v>
      </c>
      <c r="E230" t="s">
        <v>11</v>
      </c>
      <c r="F230" t="s">
        <v>134</v>
      </c>
      <c r="G230" t="s">
        <v>370</v>
      </c>
      <c r="H230" t="s">
        <v>67</v>
      </c>
      <c r="I230" t="s">
        <v>400</v>
      </c>
      <c r="J230" t="s">
        <v>125</v>
      </c>
      <c r="K230" t="s">
        <v>126</v>
      </c>
      <c r="L230" t="s">
        <v>70</v>
      </c>
      <c r="N230">
        <f t="shared" si="15"/>
        <v>8</v>
      </c>
      <c r="O230">
        <f t="shared" si="16"/>
        <v>2</v>
      </c>
      <c r="P230" t="str">
        <f t="shared" si="17"/>
        <v>Observed Better</v>
      </c>
      <c r="Q230" t="str">
        <f t="shared" si="18"/>
        <v>February</v>
      </c>
      <c r="R230" t="str">
        <f t="shared" si="19"/>
        <v>Week 8</v>
      </c>
    </row>
    <row r="231" spans="1:18" x14ac:dyDescent="0.2">
      <c r="A231" s="11">
        <v>243294</v>
      </c>
      <c r="B231" s="2">
        <v>45345</v>
      </c>
      <c r="C231" t="s">
        <v>65</v>
      </c>
      <c r="D231" t="s">
        <v>66</v>
      </c>
      <c r="E231" t="s">
        <v>11</v>
      </c>
      <c r="F231" t="s">
        <v>134</v>
      </c>
      <c r="G231" t="s">
        <v>370</v>
      </c>
      <c r="H231" t="s">
        <v>67</v>
      </c>
      <c r="I231" t="s">
        <v>400</v>
      </c>
      <c r="J231" t="s">
        <v>125</v>
      </c>
      <c r="K231" t="s">
        <v>126</v>
      </c>
      <c r="L231" t="s">
        <v>70</v>
      </c>
      <c r="N231">
        <f t="shared" si="15"/>
        <v>8</v>
      </c>
      <c r="O231">
        <f t="shared" si="16"/>
        <v>2</v>
      </c>
      <c r="P231" t="str">
        <f t="shared" si="17"/>
        <v>Observed Better</v>
      </c>
      <c r="Q231" t="str">
        <f t="shared" si="18"/>
        <v>February</v>
      </c>
      <c r="R231" t="str">
        <f t="shared" si="19"/>
        <v>Week 8</v>
      </c>
    </row>
    <row r="232" spans="1:18" x14ac:dyDescent="0.2">
      <c r="A232" s="11">
        <v>243295</v>
      </c>
      <c r="B232" s="2">
        <v>45345</v>
      </c>
      <c r="C232" t="s">
        <v>65</v>
      </c>
      <c r="D232" t="s">
        <v>66</v>
      </c>
      <c r="E232" t="s">
        <v>16</v>
      </c>
      <c r="F232" t="s">
        <v>71</v>
      </c>
      <c r="H232" t="s">
        <v>67</v>
      </c>
      <c r="I232" t="s">
        <v>401</v>
      </c>
      <c r="J232" t="s">
        <v>402</v>
      </c>
      <c r="K232" t="s">
        <v>403</v>
      </c>
      <c r="L232" t="s">
        <v>70</v>
      </c>
      <c r="M232" t="s">
        <v>404</v>
      </c>
      <c r="N232">
        <f t="shared" si="15"/>
        <v>8</v>
      </c>
      <c r="O232">
        <f t="shared" si="16"/>
        <v>2</v>
      </c>
      <c r="P232" t="str">
        <f t="shared" si="17"/>
        <v>Observed Better</v>
      </c>
      <c r="Q232" t="str">
        <f t="shared" si="18"/>
        <v>February</v>
      </c>
      <c r="R232" t="str">
        <f t="shared" si="19"/>
        <v>Week 8</v>
      </c>
    </row>
    <row r="233" spans="1:18" x14ac:dyDescent="0.2">
      <c r="A233" s="11">
        <v>243296</v>
      </c>
      <c r="B233" s="2">
        <v>45345</v>
      </c>
      <c r="C233" t="s">
        <v>65</v>
      </c>
      <c r="D233" t="s">
        <v>66</v>
      </c>
      <c r="E233" t="s">
        <v>11</v>
      </c>
      <c r="F233" t="s">
        <v>363</v>
      </c>
      <c r="G233" t="s">
        <v>364</v>
      </c>
      <c r="H233" t="s">
        <v>67</v>
      </c>
      <c r="I233" t="s">
        <v>405</v>
      </c>
      <c r="J233" t="s">
        <v>39</v>
      </c>
      <c r="K233" t="s">
        <v>244</v>
      </c>
      <c r="L233" t="s">
        <v>70</v>
      </c>
      <c r="N233">
        <f t="shared" si="15"/>
        <v>8</v>
      </c>
      <c r="O233">
        <f t="shared" si="16"/>
        <v>2</v>
      </c>
      <c r="P233" t="str">
        <f t="shared" si="17"/>
        <v>Observed Better</v>
      </c>
      <c r="Q233" t="str">
        <f t="shared" si="18"/>
        <v>February</v>
      </c>
      <c r="R233" t="str">
        <f t="shared" si="19"/>
        <v>Week 8</v>
      </c>
    </row>
    <row r="234" spans="1:18" x14ac:dyDescent="0.2">
      <c r="A234" s="11">
        <v>243297</v>
      </c>
      <c r="B234" s="2">
        <v>45345</v>
      </c>
      <c r="C234" t="s">
        <v>65</v>
      </c>
      <c r="D234" t="s">
        <v>66</v>
      </c>
      <c r="E234" t="s">
        <v>20</v>
      </c>
      <c r="F234" t="s">
        <v>10</v>
      </c>
      <c r="G234" t="s">
        <v>23</v>
      </c>
      <c r="H234" t="s">
        <v>67</v>
      </c>
      <c r="I234" t="s">
        <v>406</v>
      </c>
      <c r="J234" t="s">
        <v>39</v>
      </c>
      <c r="K234" t="s">
        <v>244</v>
      </c>
      <c r="L234" t="s">
        <v>70</v>
      </c>
      <c r="N234">
        <f t="shared" si="15"/>
        <v>8</v>
      </c>
      <c r="O234">
        <f t="shared" si="16"/>
        <v>2</v>
      </c>
      <c r="P234" t="str">
        <f t="shared" si="17"/>
        <v>Observed Better</v>
      </c>
      <c r="Q234" t="str">
        <f t="shared" si="18"/>
        <v>February</v>
      </c>
      <c r="R234" t="str">
        <f t="shared" si="19"/>
        <v>Week 8</v>
      </c>
    </row>
    <row r="235" spans="1:18" x14ac:dyDescent="0.2">
      <c r="A235" s="11">
        <v>243298</v>
      </c>
      <c r="B235" s="2">
        <v>45345</v>
      </c>
      <c r="C235" t="s">
        <v>65</v>
      </c>
      <c r="D235" t="s">
        <v>66</v>
      </c>
      <c r="E235" t="s">
        <v>20</v>
      </c>
      <c r="F235" t="s">
        <v>10</v>
      </c>
      <c r="G235" t="s">
        <v>23</v>
      </c>
      <c r="H235" t="s">
        <v>67</v>
      </c>
      <c r="I235" t="s">
        <v>407</v>
      </c>
      <c r="J235" t="s">
        <v>35</v>
      </c>
      <c r="K235" t="s">
        <v>241</v>
      </c>
      <c r="L235" t="s">
        <v>70</v>
      </c>
      <c r="N235">
        <f t="shared" si="15"/>
        <v>8</v>
      </c>
      <c r="O235">
        <f t="shared" si="16"/>
        <v>2</v>
      </c>
      <c r="P235" t="str">
        <f t="shared" si="17"/>
        <v>Observed Better</v>
      </c>
      <c r="Q235" t="str">
        <f t="shared" si="18"/>
        <v>February</v>
      </c>
      <c r="R235" t="str">
        <f t="shared" si="19"/>
        <v>Week 8</v>
      </c>
    </row>
    <row r="236" spans="1:18" x14ac:dyDescent="0.2">
      <c r="A236" s="11">
        <v>243299</v>
      </c>
      <c r="B236" s="2">
        <v>45345</v>
      </c>
      <c r="C236" t="s">
        <v>65</v>
      </c>
      <c r="D236" t="s">
        <v>66</v>
      </c>
      <c r="E236" t="s">
        <v>16</v>
      </c>
      <c r="F236" t="s">
        <v>94</v>
      </c>
      <c r="H236" t="s">
        <v>67</v>
      </c>
      <c r="I236" t="s">
        <v>408</v>
      </c>
      <c r="J236" t="s">
        <v>35</v>
      </c>
      <c r="K236" t="s">
        <v>241</v>
      </c>
      <c r="L236" t="s">
        <v>70</v>
      </c>
      <c r="N236">
        <f t="shared" si="15"/>
        <v>8</v>
      </c>
      <c r="O236">
        <f t="shared" si="16"/>
        <v>2</v>
      </c>
      <c r="P236" t="str">
        <f t="shared" si="17"/>
        <v>Observed Better</v>
      </c>
      <c r="Q236" t="str">
        <f t="shared" si="18"/>
        <v>February</v>
      </c>
      <c r="R236" t="str">
        <f t="shared" si="19"/>
        <v>Week 8</v>
      </c>
    </row>
    <row r="237" spans="1:18" x14ac:dyDescent="0.2">
      <c r="A237" s="11">
        <v>243300</v>
      </c>
      <c r="B237" s="2">
        <v>45345</v>
      </c>
      <c r="C237" t="s">
        <v>65</v>
      </c>
      <c r="D237" t="s">
        <v>66</v>
      </c>
      <c r="E237" t="s">
        <v>20</v>
      </c>
      <c r="F237" t="s">
        <v>21</v>
      </c>
      <c r="G237" t="s">
        <v>22</v>
      </c>
      <c r="H237" t="s">
        <v>67</v>
      </c>
      <c r="I237" t="s">
        <v>409</v>
      </c>
      <c r="J237" t="s">
        <v>35</v>
      </c>
      <c r="K237" t="s">
        <v>241</v>
      </c>
      <c r="L237" t="s">
        <v>70</v>
      </c>
      <c r="N237">
        <f t="shared" si="15"/>
        <v>8</v>
      </c>
      <c r="O237">
        <f t="shared" si="16"/>
        <v>2</v>
      </c>
      <c r="P237" t="str">
        <f t="shared" si="17"/>
        <v>Observed Better</v>
      </c>
      <c r="Q237" t="str">
        <f t="shared" si="18"/>
        <v>February</v>
      </c>
      <c r="R237" t="str">
        <f t="shared" si="19"/>
        <v>Week 8</v>
      </c>
    </row>
    <row r="238" spans="1:18" x14ac:dyDescent="0.2">
      <c r="A238" s="11">
        <v>243301</v>
      </c>
      <c r="B238" s="2">
        <v>45345</v>
      </c>
      <c r="C238" t="s">
        <v>65</v>
      </c>
      <c r="D238" t="s">
        <v>66</v>
      </c>
      <c r="E238" t="s">
        <v>20</v>
      </c>
      <c r="F238" t="s">
        <v>21</v>
      </c>
      <c r="G238" t="s">
        <v>73</v>
      </c>
      <c r="H238" t="s">
        <v>67</v>
      </c>
      <c r="I238" t="s">
        <v>410</v>
      </c>
      <c r="J238" t="s">
        <v>37</v>
      </c>
      <c r="K238" t="s">
        <v>69</v>
      </c>
      <c r="L238" t="s">
        <v>70</v>
      </c>
      <c r="N238">
        <f t="shared" si="15"/>
        <v>8</v>
      </c>
      <c r="O238">
        <f t="shared" si="16"/>
        <v>2</v>
      </c>
      <c r="P238" t="str">
        <f t="shared" si="17"/>
        <v>Observed Better</v>
      </c>
      <c r="Q238" t="str">
        <f t="shared" si="18"/>
        <v>February</v>
      </c>
      <c r="R238" t="str">
        <f t="shared" si="19"/>
        <v>Week 8</v>
      </c>
    </row>
    <row r="239" spans="1:18" x14ac:dyDescent="0.2">
      <c r="A239" s="11">
        <v>243302</v>
      </c>
      <c r="B239" s="2">
        <v>45345</v>
      </c>
      <c r="C239" t="s">
        <v>65</v>
      </c>
      <c r="D239" t="s">
        <v>66</v>
      </c>
      <c r="E239" t="s">
        <v>11</v>
      </c>
      <c r="F239" t="s">
        <v>220</v>
      </c>
      <c r="H239" t="s">
        <v>67</v>
      </c>
      <c r="I239" t="s">
        <v>411</v>
      </c>
      <c r="J239" t="s">
        <v>37</v>
      </c>
      <c r="K239" t="s">
        <v>69</v>
      </c>
      <c r="L239" t="s">
        <v>70</v>
      </c>
      <c r="N239">
        <f t="shared" si="15"/>
        <v>8</v>
      </c>
      <c r="O239">
        <f t="shared" si="16"/>
        <v>2</v>
      </c>
      <c r="P239" t="str">
        <f t="shared" si="17"/>
        <v>Observed Better</v>
      </c>
      <c r="Q239" t="str">
        <f t="shared" si="18"/>
        <v>February</v>
      </c>
      <c r="R239" t="str">
        <f t="shared" si="19"/>
        <v>Week 8</v>
      </c>
    </row>
    <row r="240" spans="1:18" x14ac:dyDescent="0.2">
      <c r="A240" s="11">
        <v>243304</v>
      </c>
      <c r="B240" s="2">
        <v>45345</v>
      </c>
      <c r="C240" t="s">
        <v>65</v>
      </c>
      <c r="D240" t="s">
        <v>66</v>
      </c>
      <c r="E240" t="s">
        <v>16</v>
      </c>
      <c r="F240" t="s">
        <v>94</v>
      </c>
      <c r="H240" t="s">
        <v>67</v>
      </c>
      <c r="I240" t="s">
        <v>412</v>
      </c>
      <c r="J240" t="s">
        <v>251</v>
      </c>
      <c r="K240" t="s">
        <v>252</v>
      </c>
      <c r="L240" t="s">
        <v>77</v>
      </c>
      <c r="N240">
        <f t="shared" si="15"/>
        <v>8</v>
      </c>
      <c r="O240">
        <f t="shared" si="16"/>
        <v>2</v>
      </c>
      <c r="P240" t="str">
        <f t="shared" si="17"/>
        <v>Provided Guidance</v>
      </c>
      <c r="Q240" t="str">
        <f t="shared" si="18"/>
        <v>February</v>
      </c>
      <c r="R240" t="str">
        <f t="shared" si="19"/>
        <v>Week 8</v>
      </c>
    </row>
    <row r="241" spans="1:18" x14ac:dyDescent="0.2">
      <c r="A241" s="11">
        <v>243305</v>
      </c>
      <c r="B241" s="2">
        <v>45345</v>
      </c>
      <c r="C241" t="s">
        <v>65</v>
      </c>
      <c r="D241" t="s">
        <v>66</v>
      </c>
      <c r="E241" t="s">
        <v>8</v>
      </c>
      <c r="F241" t="s">
        <v>9</v>
      </c>
      <c r="G241" t="s">
        <v>10</v>
      </c>
      <c r="H241" t="s">
        <v>67</v>
      </c>
      <c r="I241" t="s">
        <v>413</v>
      </c>
      <c r="J241" t="s">
        <v>251</v>
      </c>
      <c r="K241" t="s">
        <v>252</v>
      </c>
      <c r="L241" t="s">
        <v>77</v>
      </c>
      <c r="N241">
        <f t="shared" si="15"/>
        <v>8</v>
      </c>
      <c r="O241">
        <f t="shared" si="16"/>
        <v>2</v>
      </c>
      <c r="P241" t="str">
        <f t="shared" si="17"/>
        <v>Provided Guidance</v>
      </c>
      <c r="Q241" t="str">
        <f t="shared" si="18"/>
        <v>February</v>
      </c>
      <c r="R241" t="str">
        <f t="shared" si="19"/>
        <v>Week 8</v>
      </c>
    </row>
    <row r="242" spans="1:18" x14ac:dyDescent="0.2">
      <c r="A242" s="11">
        <v>243306</v>
      </c>
      <c r="B242" s="2">
        <v>45345</v>
      </c>
      <c r="C242" t="s">
        <v>65</v>
      </c>
      <c r="D242" t="s">
        <v>66</v>
      </c>
      <c r="E242" t="s">
        <v>20</v>
      </c>
      <c r="F242" t="s">
        <v>21</v>
      </c>
      <c r="G242" t="s">
        <v>22</v>
      </c>
      <c r="H242" t="s">
        <v>67</v>
      </c>
      <c r="I242" t="s">
        <v>414</v>
      </c>
      <c r="J242" t="s">
        <v>43</v>
      </c>
      <c r="K242" t="s">
        <v>141</v>
      </c>
      <c r="L242" t="s">
        <v>70</v>
      </c>
      <c r="N242">
        <f t="shared" si="15"/>
        <v>8</v>
      </c>
      <c r="O242">
        <f t="shared" si="16"/>
        <v>2</v>
      </c>
      <c r="P242" t="str">
        <f t="shared" si="17"/>
        <v>Observed Better</v>
      </c>
      <c r="Q242" t="str">
        <f t="shared" si="18"/>
        <v>February</v>
      </c>
      <c r="R242" t="str">
        <f t="shared" si="19"/>
        <v>Week 8</v>
      </c>
    </row>
    <row r="243" spans="1:18" x14ac:dyDescent="0.2">
      <c r="A243" s="11">
        <v>243307</v>
      </c>
      <c r="B243" s="2">
        <v>45345</v>
      </c>
      <c r="C243" t="s">
        <v>65</v>
      </c>
      <c r="D243" t="s">
        <v>66</v>
      </c>
      <c r="E243" t="s">
        <v>8</v>
      </c>
      <c r="F243" t="s">
        <v>9</v>
      </c>
      <c r="G243" t="s">
        <v>203</v>
      </c>
      <c r="H243" t="s">
        <v>67</v>
      </c>
      <c r="I243" t="s">
        <v>415</v>
      </c>
      <c r="J243" t="s">
        <v>43</v>
      </c>
      <c r="K243" t="s">
        <v>141</v>
      </c>
      <c r="L243" t="s">
        <v>70</v>
      </c>
      <c r="N243">
        <f t="shared" si="15"/>
        <v>8</v>
      </c>
      <c r="O243">
        <f t="shared" si="16"/>
        <v>2</v>
      </c>
      <c r="P243" t="str">
        <f t="shared" si="17"/>
        <v>Observed Better</v>
      </c>
      <c r="Q243" t="str">
        <f t="shared" si="18"/>
        <v>February</v>
      </c>
      <c r="R243" t="str">
        <f t="shared" si="19"/>
        <v>Week 8</v>
      </c>
    </row>
    <row r="244" spans="1:18" x14ac:dyDescent="0.2">
      <c r="A244" s="11">
        <v>243308</v>
      </c>
      <c r="B244" s="2">
        <v>45345</v>
      </c>
      <c r="C244" t="s">
        <v>65</v>
      </c>
      <c r="D244" t="s">
        <v>66</v>
      </c>
      <c r="E244" t="s">
        <v>20</v>
      </c>
      <c r="F244" t="s">
        <v>21</v>
      </c>
      <c r="G244" t="s">
        <v>22</v>
      </c>
      <c r="H244" t="s">
        <v>67</v>
      </c>
      <c r="I244" t="s">
        <v>416</v>
      </c>
      <c r="J244" t="s">
        <v>43</v>
      </c>
      <c r="K244" t="s">
        <v>141</v>
      </c>
      <c r="L244" t="s">
        <v>70</v>
      </c>
      <c r="N244">
        <f t="shared" si="15"/>
        <v>8</v>
      </c>
      <c r="O244">
        <f t="shared" si="16"/>
        <v>2</v>
      </c>
      <c r="P244" t="str">
        <f t="shared" si="17"/>
        <v>Observed Better</v>
      </c>
      <c r="Q244" t="str">
        <f t="shared" si="18"/>
        <v>February</v>
      </c>
      <c r="R244" t="str">
        <f t="shared" si="19"/>
        <v>Week 8</v>
      </c>
    </row>
    <row r="245" spans="1:18" x14ac:dyDescent="0.2">
      <c r="A245" s="11">
        <v>243322</v>
      </c>
      <c r="B245" s="2">
        <v>45348</v>
      </c>
      <c r="C245" t="s">
        <v>65</v>
      </c>
      <c r="D245" t="s">
        <v>66</v>
      </c>
      <c r="E245" t="s">
        <v>20</v>
      </c>
      <c r="F245" t="s">
        <v>235</v>
      </c>
      <c r="H245" t="s">
        <v>67</v>
      </c>
      <c r="I245" t="s">
        <v>417</v>
      </c>
      <c r="J245" t="s">
        <v>38</v>
      </c>
      <c r="K245" t="s">
        <v>97</v>
      </c>
      <c r="L245" t="s">
        <v>70</v>
      </c>
      <c r="M245" t="s">
        <v>418</v>
      </c>
      <c r="N245">
        <f t="shared" si="15"/>
        <v>9</v>
      </c>
      <c r="O245">
        <f t="shared" si="16"/>
        <v>2</v>
      </c>
      <c r="P245" t="str">
        <f t="shared" si="17"/>
        <v>Observed Better</v>
      </c>
      <c r="Q245" t="str">
        <f t="shared" si="18"/>
        <v>February</v>
      </c>
      <c r="R245" t="str">
        <f t="shared" si="19"/>
        <v>Week 9</v>
      </c>
    </row>
    <row r="246" spans="1:18" x14ac:dyDescent="0.2">
      <c r="A246" s="11">
        <v>243323</v>
      </c>
      <c r="B246" s="2">
        <v>45348</v>
      </c>
      <c r="C246" t="s">
        <v>65</v>
      </c>
      <c r="D246" t="s">
        <v>66</v>
      </c>
      <c r="E246" t="s">
        <v>20</v>
      </c>
      <c r="F246" t="s">
        <v>235</v>
      </c>
      <c r="H246" t="s">
        <v>67</v>
      </c>
      <c r="I246" t="s">
        <v>417</v>
      </c>
      <c r="J246" t="s">
        <v>38</v>
      </c>
      <c r="K246" t="s">
        <v>97</v>
      </c>
      <c r="L246" t="s">
        <v>70</v>
      </c>
      <c r="M246" t="s">
        <v>418</v>
      </c>
      <c r="N246">
        <f t="shared" si="15"/>
        <v>9</v>
      </c>
      <c r="O246">
        <f t="shared" si="16"/>
        <v>2</v>
      </c>
      <c r="P246" t="str">
        <f t="shared" si="17"/>
        <v>Observed Better</v>
      </c>
      <c r="Q246" t="str">
        <f t="shared" si="18"/>
        <v>February</v>
      </c>
      <c r="R246" t="str">
        <f t="shared" si="19"/>
        <v>Week 9</v>
      </c>
    </row>
    <row r="247" spans="1:18" x14ac:dyDescent="0.2">
      <c r="A247" s="11">
        <v>243324</v>
      </c>
      <c r="B247" s="2">
        <v>45348</v>
      </c>
      <c r="C247" t="s">
        <v>65</v>
      </c>
      <c r="D247" t="s">
        <v>66</v>
      </c>
      <c r="E247" t="s">
        <v>20</v>
      </c>
      <c r="F247" t="s">
        <v>10</v>
      </c>
      <c r="G247" t="s">
        <v>23</v>
      </c>
      <c r="H247" t="s">
        <v>67</v>
      </c>
      <c r="I247" t="s">
        <v>419</v>
      </c>
      <c r="J247" t="s">
        <v>38</v>
      </c>
      <c r="K247" t="s">
        <v>97</v>
      </c>
      <c r="L247" t="s">
        <v>70</v>
      </c>
      <c r="M247" t="s">
        <v>420</v>
      </c>
      <c r="N247">
        <f t="shared" si="15"/>
        <v>9</v>
      </c>
      <c r="O247">
        <f t="shared" si="16"/>
        <v>2</v>
      </c>
      <c r="P247" t="str">
        <f t="shared" si="17"/>
        <v>Observed Better</v>
      </c>
      <c r="Q247" t="str">
        <f t="shared" si="18"/>
        <v>February</v>
      </c>
      <c r="R247" t="str">
        <f t="shared" si="19"/>
        <v>Week 9</v>
      </c>
    </row>
    <row r="248" spans="1:18" x14ac:dyDescent="0.2">
      <c r="A248" s="11">
        <v>243325</v>
      </c>
      <c r="B248" s="2">
        <v>45348</v>
      </c>
      <c r="C248" t="s">
        <v>65</v>
      </c>
      <c r="D248" t="s">
        <v>66</v>
      </c>
      <c r="E248" t="s">
        <v>8</v>
      </c>
      <c r="F248" t="s">
        <v>9</v>
      </c>
      <c r="G248" t="s">
        <v>203</v>
      </c>
      <c r="H248" t="s">
        <v>67</v>
      </c>
      <c r="I248" t="s">
        <v>421</v>
      </c>
      <c r="J248" t="s">
        <v>38</v>
      </c>
      <c r="K248" t="s">
        <v>97</v>
      </c>
      <c r="L248" t="s">
        <v>70</v>
      </c>
      <c r="M248" t="s">
        <v>422</v>
      </c>
      <c r="N248">
        <f t="shared" si="15"/>
        <v>9</v>
      </c>
      <c r="O248">
        <f t="shared" si="16"/>
        <v>2</v>
      </c>
      <c r="P248" t="str">
        <f t="shared" si="17"/>
        <v>Observed Better</v>
      </c>
      <c r="Q248" t="str">
        <f t="shared" si="18"/>
        <v>February</v>
      </c>
      <c r="R248" t="str">
        <f t="shared" si="19"/>
        <v>Week 9</v>
      </c>
    </row>
    <row r="249" spans="1:18" x14ac:dyDescent="0.2">
      <c r="A249" s="11">
        <v>243326</v>
      </c>
      <c r="B249" s="2">
        <v>45348</v>
      </c>
      <c r="C249" t="s">
        <v>65</v>
      </c>
      <c r="D249" t="s">
        <v>66</v>
      </c>
      <c r="E249" t="s">
        <v>11</v>
      </c>
      <c r="F249" t="s">
        <v>134</v>
      </c>
      <c r="G249" t="s">
        <v>370</v>
      </c>
      <c r="H249" t="s">
        <v>67</v>
      </c>
      <c r="I249" t="s">
        <v>423</v>
      </c>
      <c r="J249" t="s">
        <v>38</v>
      </c>
      <c r="K249" t="s">
        <v>97</v>
      </c>
      <c r="L249" t="s">
        <v>70</v>
      </c>
      <c r="M249" t="s">
        <v>424</v>
      </c>
      <c r="N249">
        <f t="shared" si="15"/>
        <v>9</v>
      </c>
      <c r="O249">
        <f t="shared" si="16"/>
        <v>2</v>
      </c>
      <c r="P249" t="str">
        <f t="shared" si="17"/>
        <v>Observed Better</v>
      </c>
      <c r="Q249" t="str">
        <f t="shared" si="18"/>
        <v>February</v>
      </c>
      <c r="R249" t="str">
        <f t="shared" si="19"/>
        <v>Week 9</v>
      </c>
    </row>
    <row r="250" spans="1:18" x14ac:dyDescent="0.2">
      <c r="A250" s="11">
        <v>243327</v>
      </c>
      <c r="B250" s="2">
        <v>45349</v>
      </c>
      <c r="C250" t="s">
        <v>65</v>
      </c>
      <c r="D250" t="s">
        <v>66</v>
      </c>
      <c r="E250" t="s">
        <v>11</v>
      </c>
      <c r="F250" t="s">
        <v>134</v>
      </c>
      <c r="G250" t="s">
        <v>370</v>
      </c>
      <c r="H250" t="s">
        <v>67</v>
      </c>
      <c r="I250" t="s">
        <v>425</v>
      </c>
      <c r="J250" t="s">
        <v>125</v>
      </c>
      <c r="K250" t="s">
        <v>126</v>
      </c>
      <c r="L250" t="s">
        <v>70</v>
      </c>
      <c r="N250">
        <f t="shared" si="15"/>
        <v>9</v>
      </c>
      <c r="O250">
        <f t="shared" si="16"/>
        <v>2</v>
      </c>
      <c r="P250" t="str">
        <f t="shared" si="17"/>
        <v>Observed Better</v>
      </c>
      <c r="Q250" t="str">
        <f t="shared" si="18"/>
        <v>February</v>
      </c>
      <c r="R250" t="str">
        <f t="shared" si="19"/>
        <v>Week 9</v>
      </c>
    </row>
    <row r="251" spans="1:18" x14ac:dyDescent="0.2">
      <c r="A251" s="11">
        <v>243328</v>
      </c>
      <c r="B251" s="2">
        <v>45349</v>
      </c>
      <c r="C251" t="s">
        <v>65</v>
      </c>
      <c r="D251" t="s">
        <v>66</v>
      </c>
      <c r="E251" t="s">
        <v>20</v>
      </c>
      <c r="F251" t="s">
        <v>21</v>
      </c>
      <c r="G251" t="s">
        <v>22</v>
      </c>
      <c r="H251" t="s">
        <v>67</v>
      </c>
      <c r="I251" t="s">
        <v>426</v>
      </c>
      <c r="J251" t="s">
        <v>125</v>
      </c>
      <c r="K251" t="s">
        <v>126</v>
      </c>
      <c r="L251" t="s">
        <v>70</v>
      </c>
      <c r="N251">
        <f t="shared" si="15"/>
        <v>9</v>
      </c>
      <c r="O251">
        <f t="shared" si="16"/>
        <v>2</v>
      </c>
      <c r="P251" t="str">
        <f t="shared" si="17"/>
        <v>Observed Better</v>
      </c>
      <c r="Q251" t="str">
        <f t="shared" si="18"/>
        <v>February</v>
      </c>
      <c r="R251" t="str">
        <f t="shared" si="19"/>
        <v>Week 9</v>
      </c>
    </row>
    <row r="252" spans="1:18" x14ac:dyDescent="0.2">
      <c r="A252" s="11">
        <v>243329</v>
      </c>
      <c r="B252" s="2">
        <v>45349</v>
      </c>
      <c r="C252" t="s">
        <v>65</v>
      </c>
      <c r="D252" t="s">
        <v>66</v>
      </c>
      <c r="E252" t="s">
        <v>20</v>
      </c>
      <c r="F252" t="s">
        <v>21</v>
      </c>
      <c r="G252" t="s">
        <v>22</v>
      </c>
      <c r="H252" t="s">
        <v>67</v>
      </c>
      <c r="I252" t="s">
        <v>426</v>
      </c>
      <c r="J252" t="s">
        <v>125</v>
      </c>
      <c r="K252" t="s">
        <v>126</v>
      </c>
      <c r="L252" t="s">
        <v>70</v>
      </c>
      <c r="N252">
        <f t="shared" si="15"/>
        <v>9</v>
      </c>
      <c r="O252">
        <f t="shared" si="16"/>
        <v>2</v>
      </c>
      <c r="P252" t="str">
        <f t="shared" si="17"/>
        <v>Observed Better</v>
      </c>
      <c r="Q252" t="str">
        <f t="shared" si="18"/>
        <v>February</v>
      </c>
      <c r="R252" t="str">
        <f t="shared" si="19"/>
        <v>Week 9</v>
      </c>
    </row>
    <row r="253" spans="1:18" x14ac:dyDescent="0.2">
      <c r="A253" s="11">
        <v>243334</v>
      </c>
      <c r="B253" s="2">
        <v>45349</v>
      </c>
      <c r="C253" t="s">
        <v>65</v>
      </c>
      <c r="D253" t="s">
        <v>66</v>
      </c>
      <c r="E253" t="s">
        <v>8</v>
      </c>
      <c r="F253" t="s">
        <v>427</v>
      </c>
      <c r="G253" t="s">
        <v>428</v>
      </c>
      <c r="H253" t="s">
        <v>67</v>
      </c>
      <c r="I253" t="s">
        <v>429</v>
      </c>
      <c r="J253" t="s">
        <v>34</v>
      </c>
      <c r="K253" t="s">
        <v>295</v>
      </c>
      <c r="L253" t="s">
        <v>77</v>
      </c>
      <c r="M253" t="s">
        <v>357</v>
      </c>
      <c r="N253">
        <f t="shared" si="15"/>
        <v>9</v>
      </c>
      <c r="O253">
        <f t="shared" si="16"/>
        <v>2</v>
      </c>
      <c r="P253" t="str">
        <f t="shared" si="17"/>
        <v>Provided Guidance</v>
      </c>
      <c r="Q253" t="str">
        <f t="shared" si="18"/>
        <v>February</v>
      </c>
      <c r="R253" t="str">
        <f t="shared" si="19"/>
        <v>Week 9</v>
      </c>
    </row>
    <row r="254" spans="1:18" x14ac:dyDescent="0.2">
      <c r="A254" s="11">
        <v>243341</v>
      </c>
      <c r="B254" s="2">
        <v>45350</v>
      </c>
      <c r="C254" t="s">
        <v>65</v>
      </c>
      <c r="D254" t="s">
        <v>66</v>
      </c>
      <c r="E254" t="s">
        <v>8</v>
      </c>
      <c r="F254" t="s">
        <v>9</v>
      </c>
      <c r="G254" t="s">
        <v>10</v>
      </c>
      <c r="H254" t="s">
        <v>67</v>
      </c>
      <c r="I254" t="s">
        <v>430</v>
      </c>
      <c r="J254" t="s">
        <v>34</v>
      </c>
      <c r="K254" t="s">
        <v>295</v>
      </c>
      <c r="L254" t="s">
        <v>77</v>
      </c>
      <c r="M254" t="s">
        <v>357</v>
      </c>
      <c r="N254">
        <f t="shared" si="15"/>
        <v>9</v>
      </c>
      <c r="O254">
        <f t="shared" si="16"/>
        <v>2</v>
      </c>
      <c r="P254" t="str">
        <f t="shared" si="17"/>
        <v>Provided Guidance</v>
      </c>
      <c r="Q254" t="str">
        <f t="shared" si="18"/>
        <v>February</v>
      </c>
      <c r="R254" t="str">
        <f t="shared" si="19"/>
        <v>Week 9</v>
      </c>
    </row>
    <row r="255" spans="1:18" x14ac:dyDescent="0.2">
      <c r="A255" s="11">
        <v>243342</v>
      </c>
      <c r="B255" s="2">
        <v>45351</v>
      </c>
      <c r="C255" t="s">
        <v>65</v>
      </c>
      <c r="D255" t="s">
        <v>66</v>
      </c>
      <c r="E255" t="s">
        <v>11</v>
      </c>
      <c r="F255" t="s">
        <v>134</v>
      </c>
      <c r="G255" t="s">
        <v>135</v>
      </c>
      <c r="H255" t="s">
        <v>67</v>
      </c>
      <c r="I255" t="s">
        <v>431</v>
      </c>
      <c r="J255" t="s">
        <v>37</v>
      </c>
      <c r="K255" t="s">
        <v>69</v>
      </c>
      <c r="L255" t="s">
        <v>70</v>
      </c>
      <c r="N255">
        <f t="shared" si="15"/>
        <v>9</v>
      </c>
      <c r="O255">
        <f t="shared" si="16"/>
        <v>2</v>
      </c>
      <c r="P255" t="str">
        <f t="shared" si="17"/>
        <v>Observed Better</v>
      </c>
      <c r="Q255" t="str">
        <f t="shared" si="18"/>
        <v>February</v>
      </c>
      <c r="R255" t="str">
        <f t="shared" si="19"/>
        <v>Week 9</v>
      </c>
    </row>
    <row r="256" spans="1:18" x14ac:dyDescent="0.2">
      <c r="A256" s="11">
        <v>243343</v>
      </c>
      <c r="B256" s="2">
        <v>45351</v>
      </c>
      <c r="C256" t="s">
        <v>65</v>
      </c>
      <c r="D256" t="s">
        <v>66</v>
      </c>
      <c r="E256" t="s">
        <v>16</v>
      </c>
      <c r="F256" t="s">
        <v>94</v>
      </c>
      <c r="H256" t="s">
        <v>67</v>
      </c>
      <c r="I256" t="s">
        <v>432</v>
      </c>
      <c r="J256" t="s">
        <v>37</v>
      </c>
      <c r="K256" t="s">
        <v>69</v>
      </c>
      <c r="L256" t="s">
        <v>70</v>
      </c>
      <c r="N256">
        <f t="shared" si="15"/>
        <v>9</v>
      </c>
      <c r="O256">
        <f t="shared" si="16"/>
        <v>2</v>
      </c>
      <c r="P256" t="str">
        <f t="shared" si="17"/>
        <v>Observed Better</v>
      </c>
      <c r="Q256" t="str">
        <f t="shared" si="18"/>
        <v>February</v>
      </c>
      <c r="R256" t="str">
        <f t="shared" si="19"/>
        <v>Week 9</v>
      </c>
    </row>
    <row r="257" spans="1:18" x14ac:dyDescent="0.2">
      <c r="A257" s="11">
        <v>243365</v>
      </c>
      <c r="B257" s="2">
        <v>45351</v>
      </c>
      <c r="C257" t="s">
        <v>65</v>
      </c>
      <c r="D257" t="s">
        <v>66</v>
      </c>
      <c r="E257" t="s">
        <v>11</v>
      </c>
      <c r="F257" t="s">
        <v>131</v>
      </c>
      <c r="G257" t="s">
        <v>433</v>
      </c>
      <c r="H257" t="s">
        <v>67</v>
      </c>
      <c r="I257" t="s">
        <v>434</v>
      </c>
      <c r="J257" t="s">
        <v>125</v>
      </c>
      <c r="K257" t="s">
        <v>126</v>
      </c>
      <c r="L257" t="s">
        <v>70</v>
      </c>
      <c r="N257">
        <f t="shared" si="15"/>
        <v>9</v>
      </c>
      <c r="O257">
        <f t="shared" si="16"/>
        <v>2</v>
      </c>
      <c r="P257" t="str">
        <f t="shared" si="17"/>
        <v>Observed Better</v>
      </c>
      <c r="Q257" t="str">
        <f t="shared" si="18"/>
        <v>February</v>
      </c>
      <c r="R257" t="str">
        <f t="shared" si="19"/>
        <v>Week 9</v>
      </c>
    </row>
    <row r="258" spans="1:18" x14ac:dyDescent="0.2">
      <c r="A258" s="11">
        <v>243366</v>
      </c>
      <c r="B258" s="2">
        <v>45351</v>
      </c>
      <c r="C258" t="s">
        <v>65</v>
      </c>
      <c r="D258" t="s">
        <v>66</v>
      </c>
      <c r="E258" t="s">
        <v>11</v>
      </c>
      <c r="F258" t="s">
        <v>131</v>
      </c>
      <c r="G258" t="s">
        <v>433</v>
      </c>
      <c r="H258" t="s">
        <v>67</v>
      </c>
      <c r="I258" t="s">
        <v>434</v>
      </c>
      <c r="J258" t="s">
        <v>125</v>
      </c>
      <c r="K258" t="s">
        <v>126</v>
      </c>
      <c r="L258" t="s">
        <v>70</v>
      </c>
      <c r="N258">
        <f t="shared" ref="N258:N321" si="20">IF(ISBLANK(B258)," ",WEEKNUM(B258))</f>
        <v>9</v>
      </c>
      <c r="O258">
        <f t="shared" ref="O258:O321" si="21">IF(ISBLANK(B258)," ",MONTH(B258))</f>
        <v>2</v>
      </c>
      <c r="P258" t="str">
        <f t="shared" ref="P258:P321" si="22">IF(ISNUMBER(SEARCH("provided",L258)),"Provided Guidance","Observed Better")</f>
        <v>Observed Better</v>
      </c>
      <c r="Q258" t="str">
        <f t="shared" ref="Q258:Q321" si="23">IF(O258=" "," ",TEXT(O258*29,"mmmm"))</f>
        <v>February</v>
      </c>
      <c r="R258" t="str">
        <f t="shared" ref="R258:R321" si="24">IF(N258=" "," ",_xlfn.CONCAT("Week ",+TEXT(N258,"0")))</f>
        <v>Week 9</v>
      </c>
    </row>
    <row r="259" spans="1:18" x14ac:dyDescent="0.2">
      <c r="A259" s="11">
        <v>243371</v>
      </c>
      <c r="B259" s="2">
        <v>45352</v>
      </c>
      <c r="C259" t="s">
        <v>65</v>
      </c>
      <c r="D259" t="s">
        <v>66</v>
      </c>
      <c r="E259" t="s">
        <v>24</v>
      </c>
      <c r="F259" t="s">
        <v>10</v>
      </c>
      <c r="G259" t="s">
        <v>26</v>
      </c>
      <c r="H259" t="s">
        <v>67</v>
      </c>
      <c r="I259" t="s">
        <v>435</v>
      </c>
      <c r="J259" t="s">
        <v>125</v>
      </c>
      <c r="K259" t="s">
        <v>126</v>
      </c>
      <c r="L259" t="s">
        <v>70</v>
      </c>
      <c r="N259">
        <f t="shared" si="20"/>
        <v>9</v>
      </c>
      <c r="O259">
        <f t="shared" si="21"/>
        <v>3</v>
      </c>
      <c r="P259" t="str">
        <f t="shared" si="22"/>
        <v>Observed Better</v>
      </c>
      <c r="Q259" t="str">
        <f t="shared" si="23"/>
        <v>March</v>
      </c>
      <c r="R259" t="str">
        <f t="shared" si="24"/>
        <v>Week 9</v>
      </c>
    </row>
    <row r="260" spans="1:18" x14ac:dyDescent="0.2">
      <c r="A260" s="11">
        <v>243372</v>
      </c>
      <c r="B260" s="2">
        <v>45352</v>
      </c>
      <c r="C260" t="s">
        <v>65</v>
      </c>
      <c r="D260" t="s">
        <v>66</v>
      </c>
      <c r="E260" t="s">
        <v>24</v>
      </c>
      <c r="F260" t="s">
        <v>10</v>
      </c>
      <c r="G260" t="s">
        <v>26</v>
      </c>
      <c r="H260" t="s">
        <v>67</v>
      </c>
      <c r="I260" t="s">
        <v>435</v>
      </c>
      <c r="J260" t="s">
        <v>125</v>
      </c>
      <c r="K260" t="s">
        <v>126</v>
      </c>
      <c r="L260" t="s">
        <v>70</v>
      </c>
      <c r="N260">
        <f t="shared" si="20"/>
        <v>9</v>
      </c>
      <c r="O260">
        <f t="shared" si="21"/>
        <v>3</v>
      </c>
      <c r="P260" t="str">
        <f t="shared" si="22"/>
        <v>Observed Better</v>
      </c>
      <c r="Q260" t="str">
        <f t="shared" si="23"/>
        <v>March</v>
      </c>
      <c r="R260" t="str">
        <f t="shared" si="24"/>
        <v>Week 9</v>
      </c>
    </row>
    <row r="261" spans="1:18" x14ac:dyDescent="0.2">
      <c r="A261" s="11">
        <v>243373</v>
      </c>
      <c r="B261" s="2">
        <v>45352</v>
      </c>
      <c r="C261" t="s">
        <v>65</v>
      </c>
      <c r="D261" t="s">
        <v>66</v>
      </c>
      <c r="E261" t="s">
        <v>20</v>
      </c>
      <c r="F261" t="s">
        <v>21</v>
      </c>
      <c r="G261" t="s">
        <v>22</v>
      </c>
      <c r="H261" t="s">
        <v>67</v>
      </c>
      <c r="I261" t="s">
        <v>436</v>
      </c>
      <c r="J261" t="s">
        <v>125</v>
      </c>
      <c r="K261" t="s">
        <v>126</v>
      </c>
      <c r="L261" t="s">
        <v>70</v>
      </c>
      <c r="N261">
        <f t="shared" si="20"/>
        <v>9</v>
      </c>
      <c r="O261">
        <f t="shared" si="21"/>
        <v>3</v>
      </c>
      <c r="P261" t="str">
        <f t="shared" si="22"/>
        <v>Observed Better</v>
      </c>
      <c r="Q261" t="str">
        <f t="shared" si="23"/>
        <v>March</v>
      </c>
      <c r="R261" t="str">
        <f t="shared" si="24"/>
        <v>Week 9</v>
      </c>
    </row>
    <row r="262" spans="1:18" x14ac:dyDescent="0.2">
      <c r="A262" s="11">
        <v>243374</v>
      </c>
      <c r="B262" s="2">
        <v>45352</v>
      </c>
      <c r="C262" t="s">
        <v>65</v>
      </c>
      <c r="D262" t="s">
        <v>66</v>
      </c>
      <c r="E262" t="s">
        <v>20</v>
      </c>
      <c r="F262" t="s">
        <v>21</v>
      </c>
      <c r="G262" t="s">
        <v>22</v>
      </c>
      <c r="H262" t="s">
        <v>67</v>
      </c>
      <c r="I262" t="s">
        <v>436</v>
      </c>
      <c r="J262" t="s">
        <v>125</v>
      </c>
      <c r="K262" t="s">
        <v>126</v>
      </c>
      <c r="L262" t="s">
        <v>70</v>
      </c>
      <c r="N262">
        <f t="shared" si="20"/>
        <v>9</v>
      </c>
      <c r="O262">
        <f t="shared" si="21"/>
        <v>3</v>
      </c>
      <c r="P262" t="str">
        <f t="shared" si="22"/>
        <v>Observed Better</v>
      </c>
      <c r="Q262" t="str">
        <f t="shared" si="23"/>
        <v>March</v>
      </c>
      <c r="R262" t="str">
        <f t="shared" si="24"/>
        <v>Week 9</v>
      </c>
    </row>
    <row r="263" spans="1:18" x14ac:dyDescent="0.2">
      <c r="A263" s="11">
        <v>243382</v>
      </c>
      <c r="B263" s="2">
        <v>45352</v>
      </c>
      <c r="C263" t="s">
        <v>65</v>
      </c>
      <c r="D263" t="s">
        <v>66</v>
      </c>
      <c r="E263" t="s">
        <v>20</v>
      </c>
      <c r="F263" t="s">
        <v>10</v>
      </c>
      <c r="G263" t="s">
        <v>23</v>
      </c>
      <c r="H263" t="s">
        <v>67</v>
      </c>
      <c r="I263" t="s">
        <v>437</v>
      </c>
      <c r="J263" t="s">
        <v>37</v>
      </c>
      <c r="K263" t="s">
        <v>69</v>
      </c>
      <c r="L263" t="s">
        <v>70</v>
      </c>
      <c r="N263">
        <f t="shared" si="20"/>
        <v>9</v>
      </c>
      <c r="O263">
        <f t="shared" si="21"/>
        <v>3</v>
      </c>
      <c r="P263" t="str">
        <f t="shared" si="22"/>
        <v>Observed Better</v>
      </c>
      <c r="Q263" t="str">
        <f t="shared" si="23"/>
        <v>March</v>
      </c>
      <c r="R263" t="str">
        <f t="shared" si="24"/>
        <v>Week 9</v>
      </c>
    </row>
    <row r="264" spans="1:18" x14ac:dyDescent="0.2">
      <c r="A264" s="11">
        <v>243383</v>
      </c>
      <c r="B264" s="2">
        <v>45352</v>
      </c>
      <c r="C264" t="s">
        <v>65</v>
      </c>
      <c r="D264" t="s">
        <v>66</v>
      </c>
      <c r="E264" t="s">
        <v>20</v>
      </c>
      <c r="F264" t="s">
        <v>21</v>
      </c>
      <c r="G264" t="s">
        <v>22</v>
      </c>
      <c r="H264" t="s">
        <v>67</v>
      </c>
      <c r="I264" t="s">
        <v>438</v>
      </c>
      <c r="J264" t="s">
        <v>41</v>
      </c>
      <c r="K264" t="s">
        <v>92</v>
      </c>
      <c r="L264" t="s">
        <v>70</v>
      </c>
      <c r="N264">
        <f t="shared" si="20"/>
        <v>9</v>
      </c>
      <c r="O264">
        <f t="shared" si="21"/>
        <v>3</v>
      </c>
      <c r="P264" t="str">
        <f t="shared" si="22"/>
        <v>Observed Better</v>
      </c>
      <c r="Q264" t="str">
        <f t="shared" si="23"/>
        <v>March</v>
      </c>
      <c r="R264" t="str">
        <f t="shared" si="24"/>
        <v>Week 9</v>
      </c>
    </row>
    <row r="265" spans="1:18" x14ac:dyDescent="0.2">
      <c r="A265" s="11">
        <v>243384</v>
      </c>
      <c r="B265" s="2">
        <v>45352</v>
      </c>
      <c r="C265" t="s">
        <v>65</v>
      </c>
      <c r="D265" t="s">
        <v>66</v>
      </c>
      <c r="E265" t="s">
        <v>8</v>
      </c>
      <c r="F265" t="s">
        <v>9</v>
      </c>
      <c r="G265" t="s">
        <v>203</v>
      </c>
      <c r="H265" t="s">
        <v>67</v>
      </c>
      <c r="I265" t="s">
        <v>439</v>
      </c>
      <c r="J265" t="s">
        <v>41</v>
      </c>
      <c r="K265" t="s">
        <v>92</v>
      </c>
      <c r="L265" t="s">
        <v>70</v>
      </c>
      <c r="N265">
        <f t="shared" si="20"/>
        <v>9</v>
      </c>
      <c r="O265">
        <f t="shared" si="21"/>
        <v>3</v>
      </c>
      <c r="P265" t="str">
        <f t="shared" si="22"/>
        <v>Observed Better</v>
      </c>
      <c r="Q265" t="str">
        <f t="shared" si="23"/>
        <v>March</v>
      </c>
      <c r="R265" t="str">
        <f t="shared" si="24"/>
        <v>Week 9</v>
      </c>
    </row>
    <row r="266" spans="1:18" x14ac:dyDescent="0.2">
      <c r="A266" s="11">
        <v>243385</v>
      </c>
      <c r="B266" s="2">
        <v>45352</v>
      </c>
      <c r="C266" t="s">
        <v>65</v>
      </c>
      <c r="D266" t="s">
        <v>66</v>
      </c>
      <c r="E266" t="s">
        <v>8</v>
      </c>
      <c r="F266" t="s">
        <v>9</v>
      </c>
      <c r="G266" t="s">
        <v>203</v>
      </c>
      <c r="H266" t="s">
        <v>67</v>
      </c>
      <c r="I266" t="s">
        <v>440</v>
      </c>
      <c r="J266" t="s">
        <v>41</v>
      </c>
      <c r="K266" t="s">
        <v>92</v>
      </c>
      <c r="L266" t="s">
        <v>77</v>
      </c>
      <c r="N266">
        <f t="shared" si="20"/>
        <v>9</v>
      </c>
      <c r="O266">
        <f t="shared" si="21"/>
        <v>3</v>
      </c>
      <c r="P266" t="str">
        <f t="shared" si="22"/>
        <v>Provided Guidance</v>
      </c>
      <c r="Q266" t="str">
        <f t="shared" si="23"/>
        <v>March</v>
      </c>
      <c r="R266" t="str">
        <f t="shared" si="24"/>
        <v>Week 9</v>
      </c>
    </row>
    <row r="267" spans="1:18" x14ac:dyDescent="0.2">
      <c r="A267" s="11">
        <v>243386</v>
      </c>
      <c r="B267" s="2">
        <v>45352</v>
      </c>
      <c r="C267" t="s">
        <v>65</v>
      </c>
      <c r="D267" t="s">
        <v>66</v>
      </c>
      <c r="E267" t="s">
        <v>20</v>
      </c>
      <c r="F267" t="s">
        <v>21</v>
      </c>
      <c r="G267" t="s">
        <v>22</v>
      </c>
      <c r="H267" t="s">
        <v>67</v>
      </c>
      <c r="I267" t="s">
        <v>441</v>
      </c>
      <c r="J267" t="s">
        <v>39</v>
      </c>
      <c r="K267" t="s">
        <v>244</v>
      </c>
      <c r="L267" t="s">
        <v>70</v>
      </c>
      <c r="N267">
        <f t="shared" si="20"/>
        <v>9</v>
      </c>
      <c r="O267">
        <f t="shared" si="21"/>
        <v>3</v>
      </c>
      <c r="P267" t="str">
        <f t="shared" si="22"/>
        <v>Observed Better</v>
      </c>
      <c r="Q267" t="str">
        <f t="shared" si="23"/>
        <v>March</v>
      </c>
      <c r="R267" t="str">
        <f t="shared" si="24"/>
        <v>Week 9</v>
      </c>
    </row>
    <row r="268" spans="1:18" x14ac:dyDescent="0.2">
      <c r="A268" s="11">
        <v>243387</v>
      </c>
      <c r="B268" s="2">
        <v>45352</v>
      </c>
      <c r="C268" t="s">
        <v>65</v>
      </c>
      <c r="D268" t="s">
        <v>66</v>
      </c>
      <c r="E268" t="s">
        <v>20</v>
      </c>
      <c r="F268" t="s">
        <v>21</v>
      </c>
      <c r="G268" t="s">
        <v>22</v>
      </c>
      <c r="H268" t="s">
        <v>67</v>
      </c>
      <c r="I268" t="s">
        <v>442</v>
      </c>
      <c r="J268" t="s">
        <v>39</v>
      </c>
      <c r="K268" t="s">
        <v>244</v>
      </c>
      <c r="L268" t="s">
        <v>70</v>
      </c>
      <c r="N268">
        <f t="shared" si="20"/>
        <v>9</v>
      </c>
      <c r="O268">
        <f t="shared" si="21"/>
        <v>3</v>
      </c>
      <c r="P268" t="str">
        <f t="shared" si="22"/>
        <v>Observed Better</v>
      </c>
      <c r="Q268" t="str">
        <f t="shared" si="23"/>
        <v>March</v>
      </c>
      <c r="R268" t="str">
        <f t="shared" si="24"/>
        <v>Week 9</v>
      </c>
    </row>
    <row r="269" spans="1:18" x14ac:dyDescent="0.2">
      <c r="A269" s="11">
        <v>243388</v>
      </c>
      <c r="B269" s="2">
        <v>45352</v>
      </c>
      <c r="C269" t="s">
        <v>65</v>
      </c>
      <c r="D269" t="s">
        <v>66</v>
      </c>
      <c r="E269" t="s">
        <v>24</v>
      </c>
      <c r="F269" t="s">
        <v>10</v>
      </c>
      <c r="G269" t="s">
        <v>26</v>
      </c>
      <c r="H269" t="s">
        <v>67</v>
      </c>
      <c r="I269" t="s">
        <v>443</v>
      </c>
      <c r="J269" t="s">
        <v>39</v>
      </c>
      <c r="K269" t="s">
        <v>244</v>
      </c>
      <c r="L269" t="s">
        <v>70</v>
      </c>
      <c r="N269">
        <f t="shared" si="20"/>
        <v>9</v>
      </c>
      <c r="O269">
        <f t="shared" si="21"/>
        <v>3</v>
      </c>
      <c r="P269" t="str">
        <f t="shared" si="22"/>
        <v>Observed Better</v>
      </c>
      <c r="Q269" t="str">
        <f t="shared" si="23"/>
        <v>March</v>
      </c>
      <c r="R269" t="str">
        <f t="shared" si="24"/>
        <v>Week 9</v>
      </c>
    </row>
    <row r="270" spans="1:18" x14ac:dyDescent="0.2">
      <c r="A270" s="11">
        <v>243396</v>
      </c>
      <c r="B270" s="2">
        <v>45352</v>
      </c>
      <c r="C270" t="s">
        <v>65</v>
      </c>
      <c r="D270" t="s">
        <v>66</v>
      </c>
      <c r="E270" t="s">
        <v>8</v>
      </c>
      <c r="F270" t="s">
        <v>9</v>
      </c>
      <c r="G270" t="s">
        <v>10</v>
      </c>
      <c r="H270" t="s">
        <v>67</v>
      </c>
      <c r="I270" t="s">
        <v>444</v>
      </c>
      <c r="J270" t="s">
        <v>34</v>
      </c>
      <c r="K270" t="s">
        <v>295</v>
      </c>
      <c r="L270" t="s">
        <v>77</v>
      </c>
      <c r="M270" t="s">
        <v>445</v>
      </c>
      <c r="N270">
        <f t="shared" si="20"/>
        <v>9</v>
      </c>
      <c r="O270">
        <f t="shared" si="21"/>
        <v>3</v>
      </c>
      <c r="P270" t="str">
        <f t="shared" si="22"/>
        <v>Provided Guidance</v>
      </c>
      <c r="Q270" t="str">
        <f t="shared" si="23"/>
        <v>March</v>
      </c>
      <c r="R270" t="str">
        <f t="shared" si="24"/>
        <v>Week 9</v>
      </c>
    </row>
    <row r="271" spans="1:18" x14ac:dyDescent="0.2">
      <c r="A271" s="11">
        <v>243397</v>
      </c>
      <c r="B271" s="2">
        <v>45352</v>
      </c>
      <c r="C271" t="s">
        <v>65</v>
      </c>
      <c r="D271" t="s">
        <v>66</v>
      </c>
      <c r="E271" t="s">
        <v>8</v>
      </c>
      <c r="F271" t="s">
        <v>9</v>
      </c>
      <c r="G271" t="s">
        <v>10</v>
      </c>
      <c r="H271" t="s">
        <v>67</v>
      </c>
      <c r="I271" t="s">
        <v>446</v>
      </c>
      <c r="J271" t="s">
        <v>251</v>
      </c>
      <c r="K271" t="s">
        <v>252</v>
      </c>
      <c r="L271" t="s">
        <v>77</v>
      </c>
      <c r="N271">
        <f t="shared" si="20"/>
        <v>9</v>
      </c>
      <c r="O271">
        <f t="shared" si="21"/>
        <v>3</v>
      </c>
      <c r="P271" t="str">
        <f t="shared" si="22"/>
        <v>Provided Guidance</v>
      </c>
      <c r="Q271" t="str">
        <f t="shared" si="23"/>
        <v>March</v>
      </c>
      <c r="R271" t="str">
        <f t="shared" si="24"/>
        <v>Week 9</v>
      </c>
    </row>
    <row r="272" spans="1:18" x14ac:dyDescent="0.2">
      <c r="A272" s="11">
        <v>243398</v>
      </c>
      <c r="B272" s="2">
        <v>45352</v>
      </c>
      <c r="C272" t="s">
        <v>65</v>
      </c>
      <c r="D272" t="s">
        <v>66</v>
      </c>
      <c r="E272" t="s">
        <v>20</v>
      </c>
      <c r="F272" t="s">
        <v>10</v>
      </c>
      <c r="G272" t="s">
        <v>23</v>
      </c>
      <c r="H272" t="s">
        <v>67</v>
      </c>
      <c r="I272" t="s">
        <v>447</v>
      </c>
      <c r="J272" t="s">
        <v>251</v>
      </c>
      <c r="K272" t="s">
        <v>252</v>
      </c>
      <c r="L272" t="s">
        <v>77</v>
      </c>
      <c r="N272">
        <f t="shared" si="20"/>
        <v>9</v>
      </c>
      <c r="O272">
        <f t="shared" si="21"/>
        <v>3</v>
      </c>
      <c r="P272" t="str">
        <f t="shared" si="22"/>
        <v>Provided Guidance</v>
      </c>
      <c r="Q272" t="str">
        <f t="shared" si="23"/>
        <v>March</v>
      </c>
      <c r="R272" t="str">
        <f t="shared" si="24"/>
        <v>Week 9</v>
      </c>
    </row>
    <row r="273" spans="1:18" x14ac:dyDescent="0.2">
      <c r="A273" s="11">
        <v>243399</v>
      </c>
      <c r="B273" s="2">
        <v>45354</v>
      </c>
      <c r="C273" t="s">
        <v>65</v>
      </c>
      <c r="D273" t="s">
        <v>66</v>
      </c>
      <c r="E273" t="s">
        <v>20</v>
      </c>
      <c r="F273" t="s">
        <v>21</v>
      </c>
      <c r="G273" t="s">
        <v>73</v>
      </c>
      <c r="H273" t="s">
        <v>67</v>
      </c>
      <c r="I273" t="s">
        <v>448</v>
      </c>
      <c r="J273" t="s">
        <v>115</v>
      </c>
      <c r="K273" t="s">
        <v>116</v>
      </c>
      <c r="L273" t="s">
        <v>70</v>
      </c>
      <c r="N273">
        <f t="shared" si="20"/>
        <v>10</v>
      </c>
      <c r="O273">
        <f t="shared" si="21"/>
        <v>3</v>
      </c>
      <c r="P273" t="str">
        <f t="shared" si="22"/>
        <v>Observed Better</v>
      </c>
      <c r="Q273" t="str">
        <f t="shared" si="23"/>
        <v>March</v>
      </c>
      <c r="R273" t="str">
        <f t="shared" si="24"/>
        <v>Week 10</v>
      </c>
    </row>
    <row r="274" spans="1:18" x14ac:dyDescent="0.2">
      <c r="A274" s="11">
        <v>243400</v>
      </c>
      <c r="B274" s="2">
        <v>45354</v>
      </c>
      <c r="C274" t="s">
        <v>65</v>
      </c>
      <c r="D274" t="s">
        <v>66</v>
      </c>
      <c r="E274" t="s">
        <v>11</v>
      </c>
      <c r="F274" t="s">
        <v>134</v>
      </c>
      <c r="G274" t="s">
        <v>135</v>
      </c>
      <c r="H274" t="s">
        <v>67</v>
      </c>
      <c r="I274" t="s">
        <v>449</v>
      </c>
      <c r="J274" t="s">
        <v>115</v>
      </c>
      <c r="K274" t="s">
        <v>116</v>
      </c>
      <c r="L274" t="s">
        <v>70</v>
      </c>
      <c r="N274">
        <f t="shared" si="20"/>
        <v>10</v>
      </c>
      <c r="O274">
        <f t="shared" si="21"/>
        <v>3</v>
      </c>
      <c r="P274" t="str">
        <f t="shared" si="22"/>
        <v>Observed Better</v>
      </c>
      <c r="Q274" t="str">
        <f t="shared" si="23"/>
        <v>March</v>
      </c>
      <c r="R274" t="str">
        <f t="shared" si="24"/>
        <v>Week 10</v>
      </c>
    </row>
    <row r="275" spans="1:18" x14ac:dyDescent="0.2">
      <c r="A275" s="11">
        <v>243409</v>
      </c>
      <c r="B275" s="2">
        <v>45356</v>
      </c>
      <c r="C275" t="s">
        <v>65</v>
      </c>
      <c r="D275" t="s">
        <v>66</v>
      </c>
      <c r="E275" t="s">
        <v>11</v>
      </c>
      <c r="F275" t="s">
        <v>134</v>
      </c>
      <c r="G275" t="s">
        <v>370</v>
      </c>
      <c r="H275" t="s">
        <v>67</v>
      </c>
      <c r="I275" t="s">
        <v>450</v>
      </c>
      <c r="J275" t="s">
        <v>125</v>
      </c>
      <c r="K275" t="s">
        <v>126</v>
      </c>
      <c r="L275" t="s">
        <v>70</v>
      </c>
      <c r="N275">
        <f t="shared" si="20"/>
        <v>10</v>
      </c>
      <c r="O275">
        <f t="shared" si="21"/>
        <v>3</v>
      </c>
      <c r="P275" t="str">
        <f t="shared" si="22"/>
        <v>Observed Better</v>
      </c>
      <c r="Q275" t="str">
        <f t="shared" si="23"/>
        <v>March</v>
      </c>
      <c r="R275" t="str">
        <f t="shared" si="24"/>
        <v>Week 10</v>
      </c>
    </row>
    <row r="276" spans="1:18" x14ac:dyDescent="0.2">
      <c r="A276" s="11">
        <v>243414</v>
      </c>
      <c r="B276" s="2">
        <v>45356</v>
      </c>
      <c r="C276" t="s">
        <v>65</v>
      </c>
      <c r="D276" t="s">
        <v>66</v>
      </c>
      <c r="E276" t="s">
        <v>24</v>
      </c>
      <c r="F276" t="s">
        <v>10</v>
      </c>
      <c r="G276" t="s">
        <v>26</v>
      </c>
      <c r="H276" t="s">
        <v>67</v>
      </c>
      <c r="I276" t="s">
        <v>451</v>
      </c>
      <c r="J276" t="s">
        <v>110</v>
      </c>
      <c r="K276" t="s">
        <v>111</v>
      </c>
      <c r="L276" t="s">
        <v>70</v>
      </c>
      <c r="N276">
        <f t="shared" si="20"/>
        <v>10</v>
      </c>
      <c r="O276">
        <f t="shared" si="21"/>
        <v>3</v>
      </c>
      <c r="P276" t="str">
        <f t="shared" si="22"/>
        <v>Observed Better</v>
      </c>
      <c r="Q276" t="str">
        <f t="shared" si="23"/>
        <v>March</v>
      </c>
      <c r="R276" t="str">
        <f t="shared" si="24"/>
        <v>Week 10</v>
      </c>
    </row>
    <row r="277" spans="1:18" x14ac:dyDescent="0.2">
      <c r="A277" s="11">
        <v>243415</v>
      </c>
      <c r="B277" s="2">
        <v>45356</v>
      </c>
      <c r="C277" t="s">
        <v>65</v>
      </c>
      <c r="D277" t="s">
        <v>66</v>
      </c>
      <c r="E277" t="s">
        <v>24</v>
      </c>
      <c r="F277" t="s">
        <v>10</v>
      </c>
      <c r="G277" t="s">
        <v>26</v>
      </c>
      <c r="H277" t="s">
        <v>67</v>
      </c>
      <c r="I277" t="s">
        <v>452</v>
      </c>
      <c r="J277" t="s">
        <v>110</v>
      </c>
      <c r="K277" t="s">
        <v>111</v>
      </c>
      <c r="L277" t="s">
        <v>77</v>
      </c>
      <c r="N277">
        <f t="shared" si="20"/>
        <v>10</v>
      </c>
      <c r="O277">
        <f t="shared" si="21"/>
        <v>3</v>
      </c>
      <c r="P277" t="str">
        <f t="shared" si="22"/>
        <v>Provided Guidance</v>
      </c>
      <c r="Q277" t="str">
        <f t="shared" si="23"/>
        <v>March</v>
      </c>
      <c r="R277" t="str">
        <f t="shared" si="24"/>
        <v>Week 10</v>
      </c>
    </row>
    <row r="278" spans="1:18" x14ac:dyDescent="0.2">
      <c r="A278" s="11">
        <v>243416</v>
      </c>
      <c r="B278" s="2">
        <v>45356</v>
      </c>
      <c r="C278" t="s">
        <v>65</v>
      </c>
      <c r="D278" t="s">
        <v>66</v>
      </c>
      <c r="E278" t="s">
        <v>24</v>
      </c>
      <c r="F278" t="s">
        <v>10</v>
      </c>
      <c r="G278" t="s">
        <v>26</v>
      </c>
      <c r="H278" t="s">
        <v>67</v>
      </c>
      <c r="I278" t="s">
        <v>453</v>
      </c>
      <c r="J278" t="s">
        <v>110</v>
      </c>
      <c r="K278" t="s">
        <v>111</v>
      </c>
      <c r="L278" t="s">
        <v>70</v>
      </c>
      <c r="N278">
        <f t="shared" si="20"/>
        <v>10</v>
      </c>
      <c r="O278">
        <f t="shared" si="21"/>
        <v>3</v>
      </c>
      <c r="P278" t="str">
        <f t="shared" si="22"/>
        <v>Observed Better</v>
      </c>
      <c r="Q278" t="str">
        <f t="shared" si="23"/>
        <v>March</v>
      </c>
      <c r="R278" t="str">
        <f t="shared" si="24"/>
        <v>Week 10</v>
      </c>
    </row>
    <row r="279" spans="1:18" x14ac:dyDescent="0.2">
      <c r="A279" s="11">
        <v>243417</v>
      </c>
      <c r="B279" s="2">
        <v>45356</v>
      </c>
      <c r="C279" t="s">
        <v>65</v>
      </c>
      <c r="D279" t="s">
        <v>66</v>
      </c>
      <c r="E279" t="s">
        <v>11</v>
      </c>
      <c r="F279" t="s">
        <v>131</v>
      </c>
      <c r="G279" t="s">
        <v>433</v>
      </c>
      <c r="H279" t="s">
        <v>67</v>
      </c>
      <c r="I279" t="s">
        <v>454</v>
      </c>
      <c r="J279" t="s">
        <v>455</v>
      </c>
      <c r="K279" t="s">
        <v>456</v>
      </c>
      <c r="L279" t="s">
        <v>70</v>
      </c>
      <c r="N279">
        <f t="shared" si="20"/>
        <v>10</v>
      </c>
      <c r="O279">
        <f t="shared" si="21"/>
        <v>3</v>
      </c>
      <c r="P279" t="str">
        <f t="shared" si="22"/>
        <v>Observed Better</v>
      </c>
      <c r="Q279" t="str">
        <f t="shared" si="23"/>
        <v>March</v>
      </c>
      <c r="R279" t="str">
        <f t="shared" si="24"/>
        <v>Week 10</v>
      </c>
    </row>
    <row r="280" spans="1:18" x14ac:dyDescent="0.2">
      <c r="A280" s="11">
        <v>243418</v>
      </c>
      <c r="B280" s="2">
        <v>45357</v>
      </c>
      <c r="C280" t="s">
        <v>65</v>
      </c>
      <c r="D280" t="s">
        <v>66</v>
      </c>
      <c r="E280" t="s">
        <v>20</v>
      </c>
      <c r="F280" t="s">
        <v>21</v>
      </c>
      <c r="G280" t="s">
        <v>73</v>
      </c>
      <c r="H280" t="s">
        <v>67</v>
      </c>
      <c r="I280" t="s">
        <v>457</v>
      </c>
      <c r="J280" t="s">
        <v>125</v>
      </c>
      <c r="K280" t="s">
        <v>126</v>
      </c>
      <c r="L280" t="s">
        <v>70</v>
      </c>
      <c r="N280">
        <f t="shared" si="20"/>
        <v>10</v>
      </c>
      <c r="O280">
        <f t="shared" si="21"/>
        <v>3</v>
      </c>
      <c r="P280" t="str">
        <f t="shared" si="22"/>
        <v>Observed Better</v>
      </c>
      <c r="Q280" t="str">
        <f t="shared" si="23"/>
        <v>March</v>
      </c>
      <c r="R280" t="str">
        <f t="shared" si="24"/>
        <v>Week 10</v>
      </c>
    </row>
    <row r="281" spans="1:18" x14ac:dyDescent="0.2">
      <c r="A281" s="11">
        <v>243422</v>
      </c>
      <c r="B281" s="2">
        <v>45357</v>
      </c>
      <c r="C281" t="s">
        <v>65</v>
      </c>
      <c r="D281" t="s">
        <v>66</v>
      </c>
      <c r="E281" t="s">
        <v>11</v>
      </c>
      <c r="F281" t="s">
        <v>131</v>
      </c>
      <c r="G281" t="s">
        <v>433</v>
      </c>
      <c r="H281" t="s">
        <v>67</v>
      </c>
      <c r="I281" t="s">
        <v>458</v>
      </c>
      <c r="J281" t="s">
        <v>34</v>
      </c>
      <c r="K281" t="s">
        <v>295</v>
      </c>
      <c r="L281" t="s">
        <v>77</v>
      </c>
      <c r="M281" t="s">
        <v>357</v>
      </c>
      <c r="N281">
        <f t="shared" si="20"/>
        <v>10</v>
      </c>
      <c r="O281">
        <f t="shared" si="21"/>
        <v>3</v>
      </c>
      <c r="P281" t="str">
        <f t="shared" si="22"/>
        <v>Provided Guidance</v>
      </c>
      <c r="Q281" t="str">
        <f t="shared" si="23"/>
        <v>March</v>
      </c>
      <c r="R281" t="str">
        <f t="shared" si="24"/>
        <v>Week 10</v>
      </c>
    </row>
    <row r="282" spans="1:18" x14ac:dyDescent="0.2">
      <c r="A282" s="11">
        <v>243423</v>
      </c>
      <c r="B282" s="2">
        <v>45357</v>
      </c>
      <c r="C282" t="s">
        <v>65</v>
      </c>
      <c r="D282" t="s">
        <v>66</v>
      </c>
      <c r="E282" t="s">
        <v>11</v>
      </c>
      <c r="F282" t="s">
        <v>134</v>
      </c>
      <c r="G282" t="s">
        <v>135</v>
      </c>
      <c r="H282" t="s">
        <v>67</v>
      </c>
      <c r="I282" t="s">
        <v>459</v>
      </c>
      <c r="J282" t="s">
        <v>34</v>
      </c>
      <c r="K282" t="s">
        <v>295</v>
      </c>
      <c r="L282" t="s">
        <v>77</v>
      </c>
      <c r="M282" t="s">
        <v>357</v>
      </c>
      <c r="N282">
        <f t="shared" si="20"/>
        <v>10</v>
      </c>
      <c r="O282">
        <f t="shared" si="21"/>
        <v>3</v>
      </c>
      <c r="P282" t="str">
        <f t="shared" si="22"/>
        <v>Provided Guidance</v>
      </c>
      <c r="Q282" t="str">
        <f t="shared" si="23"/>
        <v>March</v>
      </c>
      <c r="R282" t="str">
        <f t="shared" si="24"/>
        <v>Week 10</v>
      </c>
    </row>
    <row r="283" spans="1:18" x14ac:dyDescent="0.2">
      <c r="A283" s="11">
        <v>243424</v>
      </c>
      <c r="B283" s="2">
        <v>45358</v>
      </c>
      <c r="C283" t="s">
        <v>65</v>
      </c>
      <c r="D283" t="s">
        <v>66</v>
      </c>
      <c r="E283" t="s">
        <v>11</v>
      </c>
      <c r="F283" t="s">
        <v>363</v>
      </c>
      <c r="G283" t="s">
        <v>364</v>
      </c>
      <c r="H283" t="s">
        <v>67</v>
      </c>
      <c r="I283" t="s">
        <v>460</v>
      </c>
      <c r="J283" t="s">
        <v>37</v>
      </c>
      <c r="K283" t="s">
        <v>69</v>
      </c>
      <c r="L283" t="s">
        <v>70</v>
      </c>
      <c r="N283">
        <f t="shared" si="20"/>
        <v>10</v>
      </c>
      <c r="O283">
        <f t="shared" si="21"/>
        <v>3</v>
      </c>
      <c r="P283" t="str">
        <f t="shared" si="22"/>
        <v>Observed Better</v>
      </c>
      <c r="Q283" t="str">
        <f t="shared" si="23"/>
        <v>March</v>
      </c>
      <c r="R283" t="str">
        <f t="shared" si="24"/>
        <v>Week 10</v>
      </c>
    </row>
    <row r="284" spans="1:18" x14ac:dyDescent="0.2">
      <c r="A284" s="11">
        <v>243425</v>
      </c>
      <c r="B284" s="2">
        <v>45358</v>
      </c>
      <c r="C284" t="s">
        <v>65</v>
      </c>
      <c r="D284" t="s">
        <v>66</v>
      </c>
      <c r="E284" t="s">
        <v>8</v>
      </c>
      <c r="F284" t="s">
        <v>427</v>
      </c>
      <c r="G284" t="s">
        <v>428</v>
      </c>
      <c r="H284" t="s">
        <v>67</v>
      </c>
      <c r="I284" t="s">
        <v>461</v>
      </c>
      <c r="J284" t="s">
        <v>125</v>
      </c>
      <c r="K284" t="s">
        <v>126</v>
      </c>
      <c r="L284" t="s">
        <v>70</v>
      </c>
      <c r="N284">
        <f t="shared" si="20"/>
        <v>10</v>
      </c>
      <c r="O284">
        <f t="shared" si="21"/>
        <v>3</v>
      </c>
      <c r="P284" t="str">
        <f t="shared" si="22"/>
        <v>Observed Better</v>
      </c>
      <c r="Q284" t="str">
        <f t="shared" si="23"/>
        <v>March</v>
      </c>
      <c r="R284" t="str">
        <f t="shared" si="24"/>
        <v>Week 10</v>
      </c>
    </row>
    <row r="285" spans="1:18" x14ac:dyDescent="0.2">
      <c r="A285" s="11">
        <v>243426</v>
      </c>
      <c r="B285" s="2">
        <v>45359</v>
      </c>
      <c r="C285" t="s">
        <v>65</v>
      </c>
      <c r="D285" t="s">
        <v>66</v>
      </c>
      <c r="E285" t="s">
        <v>11</v>
      </c>
      <c r="F285" t="s">
        <v>131</v>
      </c>
      <c r="G285" t="s">
        <v>11</v>
      </c>
      <c r="H285" t="s">
        <v>67</v>
      </c>
      <c r="I285" t="s">
        <v>462</v>
      </c>
      <c r="J285" t="s">
        <v>125</v>
      </c>
      <c r="K285" t="s">
        <v>126</v>
      </c>
      <c r="L285" t="s">
        <v>70</v>
      </c>
      <c r="N285">
        <f t="shared" si="20"/>
        <v>10</v>
      </c>
      <c r="O285">
        <f t="shared" si="21"/>
        <v>3</v>
      </c>
      <c r="P285" t="str">
        <f t="shared" si="22"/>
        <v>Observed Better</v>
      </c>
      <c r="Q285" t="str">
        <f t="shared" si="23"/>
        <v>March</v>
      </c>
      <c r="R285" t="str">
        <f t="shared" si="24"/>
        <v>Week 10</v>
      </c>
    </row>
    <row r="286" spans="1:18" x14ac:dyDescent="0.2">
      <c r="A286" s="11">
        <v>243427</v>
      </c>
      <c r="B286" s="2">
        <v>45359</v>
      </c>
      <c r="C286" t="s">
        <v>65</v>
      </c>
      <c r="D286" t="s">
        <v>66</v>
      </c>
      <c r="E286" t="s">
        <v>11</v>
      </c>
      <c r="F286" t="s">
        <v>220</v>
      </c>
      <c r="H286" t="s">
        <v>67</v>
      </c>
      <c r="I286" t="s">
        <v>463</v>
      </c>
      <c r="J286" t="s">
        <v>35</v>
      </c>
      <c r="K286" t="s">
        <v>241</v>
      </c>
      <c r="L286" t="s">
        <v>70</v>
      </c>
      <c r="N286">
        <f t="shared" si="20"/>
        <v>10</v>
      </c>
      <c r="O286">
        <f t="shared" si="21"/>
        <v>3</v>
      </c>
      <c r="P286" t="str">
        <f t="shared" si="22"/>
        <v>Observed Better</v>
      </c>
      <c r="Q286" t="str">
        <f t="shared" si="23"/>
        <v>March</v>
      </c>
      <c r="R286" t="str">
        <f t="shared" si="24"/>
        <v>Week 10</v>
      </c>
    </row>
    <row r="287" spans="1:18" x14ac:dyDescent="0.2">
      <c r="A287" s="11">
        <v>243428</v>
      </c>
      <c r="B287" s="2">
        <v>45359</v>
      </c>
      <c r="C287" t="s">
        <v>65</v>
      </c>
      <c r="D287" t="s">
        <v>66</v>
      </c>
      <c r="E287" t="s">
        <v>8</v>
      </c>
      <c r="F287" t="s">
        <v>9</v>
      </c>
      <c r="G287" t="s">
        <v>11</v>
      </c>
      <c r="H287" t="s">
        <v>67</v>
      </c>
      <c r="I287" t="s">
        <v>464</v>
      </c>
      <c r="J287" t="s">
        <v>125</v>
      </c>
      <c r="K287" t="s">
        <v>126</v>
      </c>
      <c r="L287" t="s">
        <v>70</v>
      </c>
      <c r="N287">
        <f t="shared" si="20"/>
        <v>10</v>
      </c>
      <c r="O287">
        <f t="shared" si="21"/>
        <v>3</v>
      </c>
      <c r="P287" t="str">
        <f t="shared" si="22"/>
        <v>Observed Better</v>
      </c>
      <c r="Q287" t="str">
        <f t="shared" si="23"/>
        <v>March</v>
      </c>
      <c r="R287" t="str">
        <f t="shared" si="24"/>
        <v>Week 10</v>
      </c>
    </row>
    <row r="288" spans="1:18" x14ac:dyDescent="0.2">
      <c r="A288" s="11">
        <v>243429</v>
      </c>
      <c r="B288" s="2">
        <v>45359</v>
      </c>
      <c r="C288" t="s">
        <v>65</v>
      </c>
      <c r="D288" t="s">
        <v>66</v>
      </c>
      <c r="E288" t="s">
        <v>20</v>
      </c>
      <c r="F288" t="s">
        <v>10</v>
      </c>
      <c r="G288" t="s">
        <v>23</v>
      </c>
      <c r="H288" t="s">
        <v>67</v>
      </c>
      <c r="I288" t="s">
        <v>465</v>
      </c>
      <c r="J288" t="s">
        <v>35</v>
      </c>
      <c r="K288" t="s">
        <v>241</v>
      </c>
      <c r="L288" t="s">
        <v>70</v>
      </c>
      <c r="N288">
        <f t="shared" si="20"/>
        <v>10</v>
      </c>
      <c r="O288">
        <f t="shared" si="21"/>
        <v>3</v>
      </c>
      <c r="P288" t="str">
        <f t="shared" si="22"/>
        <v>Observed Better</v>
      </c>
      <c r="Q288" t="str">
        <f t="shared" si="23"/>
        <v>March</v>
      </c>
      <c r="R288" t="str">
        <f t="shared" si="24"/>
        <v>Week 10</v>
      </c>
    </row>
    <row r="289" spans="1:18" x14ac:dyDescent="0.2">
      <c r="A289" s="11">
        <v>243430</v>
      </c>
      <c r="B289" s="2">
        <v>45359</v>
      </c>
      <c r="C289" t="s">
        <v>65</v>
      </c>
      <c r="D289" t="s">
        <v>66</v>
      </c>
      <c r="E289" t="s">
        <v>11</v>
      </c>
      <c r="F289" t="s">
        <v>134</v>
      </c>
      <c r="G289" t="s">
        <v>135</v>
      </c>
      <c r="H289" t="s">
        <v>67</v>
      </c>
      <c r="I289" t="s">
        <v>466</v>
      </c>
      <c r="J289" t="s">
        <v>35</v>
      </c>
      <c r="K289" t="s">
        <v>241</v>
      </c>
      <c r="L289" t="s">
        <v>70</v>
      </c>
      <c r="N289">
        <f t="shared" si="20"/>
        <v>10</v>
      </c>
      <c r="O289">
        <f t="shared" si="21"/>
        <v>3</v>
      </c>
      <c r="P289" t="str">
        <f t="shared" si="22"/>
        <v>Observed Better</v>
      </c>
      <c r="Q289" t="str">
        <f t="shared" si="23"/>
        <v>March</v>
      </c>
      <c r="R289" t="str">
        <f t="shared" si="24"/>
        <v>Week 10</v>
      </c>
    </row>
    <row r="290" spans="1:18" x14ac:dyDescent="0.2">
      <c r="A290" s="11">
        <v>243431</v>
      </c>
      <c r="B290" s="2">
        <v>45359</v>
      </c>
      <c r="C290" t="s">
        <v>65</v>
      </c>
      <c r="D290" t="s">
        <v>66</v>
      </c>
      <c r="E290" t="s">
        <v>20</v>
      </c>
      <c r="F290" t="s">
        <v>21</v>
      </c>
      <c r="G290" t="s">
        <v>22</v>
      </c>
      <c r="H290" t="s">
        <v>67</v>
      </c>
      <c r="I290" t="s">
        <v>467</v>
      </c>
      <c r="J290" t="s">
        <v>41</v>
      </c>
      <c r="K290" t="s">
        <v>92</v>
      </c>
      <c r="L290" t="s">
        <v>70</v>
      </c>
      <c r="N290">
        <f t="shared" si="20"/>
        <v>10</v>
      </c>
      <c r="O290">
        <f t="shared" si="21"/>
        <v>3</v>
      </c>
      <c r="P290" t="str">
        <f t="shared" si="22"/>
        <v>Observed Better</v>
      </c>
      <c r="Q290" t="str">
        <f t="shared" si="23"/>
        <v>March</v>
      </c>
      <c r="R290" t="str">
        <f t="shared" si="24"/>
        <v>Week 10</v>
      </c>
    </row>
    <row r="291" spans="1:18" x14ac:dyDescent="0.2">
      <c r="A291" s="11">
        <v>243432</v>
      </c>
      <c r="B291" s="2">
        <v>45359</v>
      </c>
      <c r="C291" t="s">
        <v>65</v>
      </c>
      <c r="D291" t="s">
        <v>66</v>
      </c>
      <c r="E291" t="s">
        <v>20</v>
      </c>
      <c r="F291" t="s">
        <v>21</v>
      </c>
      <c r="G291" t="s">
        <v>73</v>
      </c>
      <c r="H291" t="s">
        <v>67</v>
      </c>
      <c r="I291" t="s">
        <v>468</v>
      </c>
      <c r="J291" t="s">
        <v>41</v>
      </c>
      <c r="K291" t="s">
        <v>92</v>
      </c>
      <c r="L291" t="s">
        <v>70</v>
      </c>
      <c r="N291">
        <f t="shared" si="20"/>
        <v>10</v>
      </c>
      <c r="O291">
        <f t="shared" si="21"/>
        <v>3</v>
      </c>
      <c r="P291" t="str">
        <f t="shared" si="22"/>
        <v>Observed Better</v>
      </c>
      <c r="Q291" t="str">
        <f t="shared" si="23"/>
        <v>March</v>
      </c>
      <c r="R291" t="str">
        <f t="shared" si="24"/>
        <v>Week 10</v>
      </c>
    </row>
    <row r="292" spans="1:18" x14ac:dyDescent="0.2">
      <c r="A292" s="11">
        <v>243433</v>
      </c>
      <c r="B292" s="2">
        <v>45359</v>
      </c>
      <c r="C292" t="s">
        <v>65</v>
      </c>
      <c r="D292" t="s">
        <v>66</v>
      </c>
      <c r="E292" t="s">
        <v>24</v>
      </c>
      <c r="F292" t="s">
        <v>25</v>
      </c>
      <c r="H292" t="s">
        <v>67</v>
      </c>
      <c r="I292" t="s">
        <v>469</v>
      </c>
      <c r="J292" t="s">
        <v>41</v>
      </c>
      <c r="K292" t="s">
        <v>92</v>
      </c>
      <c r="L292" t="s">
        <v>70</v>
      </c>
      <c r="N292">
        <f t="shared" si="20"/>
        <v>10</v>
      </c>
      <c r="O292">
        <f t="shared" si="21"/>
        <v>3</v>
      </c>
      <c r="P292" t="str">
        <f t="shared" si="22"/>
        <v>Observed Better</v>
      </c>
      <c r="Q292" t="str">
        <f t="shared" si="23"/>
        <v>March</v>
      </c>
      <c r="R292" t="str">
        <f t="shared" si="24"/>
        <v>Week 10</v>
      </c>
    </row>
    <row r="293" spans="1:18" x14ac:dyDescent="0.2">
      <c r="A293" s="11">
        <v>243434</v>
      </c>
      <c r="B293" s="2">
        <v>45359</v>
      </c>
      <c r="C293" t="s">
        <v>65</v>
      </c>
      <c r="D293" t="s">
        <v>66</v>
      </c>
      <c r="E293" t="s">
        <v>11</v>
      </c>
      <c r="F293" t="s">
        <v>363</v>
      </c>
      <c r="G293" t="s">
        <v>364</v>
      </c>
      <c r="H293" t="s">
        <v>67</v>
      </c>
      <c r="I293" t="s">
        <v>470</v>
      </c>
      <c r="J293" t="s">
        <v>37</v>
      </c>
      <c r="K293" t="s">
        <v>69</v>
      </c>
      <c r="L293" t="s">
        <v>70</v>
      </c>
      <c r="N293">
        <f t="shared" si="20"/>
        <v>10</v>
      </c>
      <c r="O293">
        <f t="shared" si="21"/>
        <v>3</v>
      </c>
      <c r="P293" t="str">
        <f t="shared" si="22"/>
        <v>Observed Better</v>
      </c>
      <c r="Q293" t="str">
        <f t="shared" si="23"/>
        <v>March</v>
      </c>
      <c r="R293" t="str">
        <f t="shared" si="24"/>
        <v>Week 10</v>
      </c>
    </row>
    <row r="294" spans="1:18" x14ac:dyDescent="0.2">
      <c r="A294" s="11">
        <v>243435</v>
      </c>
      <c r="B294" s="2">
        <v>45359</v>
      </c>
      <c r="C294" t="s">
        <v>65</v>
      </c>
      <c r="D294" t="s">
        <v>66</v>
      </c>
      <c r="E294" t="s">
        <v>11</v>
      </c>
      <c r="F294" t="s">
        <v>363</v>
      </c>
      <c r="G294" t="s">
        <v>364</v>
      </c>
      <c r="H294" t="s">
        <v>67</v>
      </c>
      <c r="I294" t="s">
        <v>471</v>
      </c>
      <c r="J294" t="s">
        <v>37</v>
      </c>
      <c r="K294" t="s">
        <v>69</v>
      </c>
      <c r="L294" t="s">
        <v>70</v>
      </c>
      <c r="N294">
        <f t="shared" si="20"/>
        <v>10</v>
      </c>
      <c r="O294">
        <f t="shared" si="21"/>
        <v>3</v>
      </c>
      <c r="P294" t="str">
        <f t="shared" si="22"/>
        <v>Observed Better</v>
      </c>
      <c r="Q294" t="str">
        <f t="shared" si="23"/>
        <v>March</v>
      </c>
      <c r="R294" t="str">
        <f t="shared" si="24"/>
        <v>Week 10</v>
      </c>
    </row>
    <row r="295" spans="1:18" x14ac:dyDescent="0.2">
      <c r="A295" s="11">
        <v>243436</v>
      </c>
      <c r="B295" s="2">
        <v>45359</v>
      </c>
      <c r="C295" t="s">
        <v>65</v>
      </c>
      <c r="D295" t="s">
        <v>66</v>
      </c>
      <c r="E295" t="s">
        <v>20</v>
      </c>
      <c r="F295" t="s">
        <v>10</v>
      </c>
      <c r="G295" t="s">
        <v>23</v>
      </c>
      <c r="H295" t="s">
        <v>67</v>
      </c>
      <c r="I295" t="s">
        <v>472</v>
      </c>
      <c r="J295" t="s">
        <v>125</v>
      </c>
      <c r="K295" t="s">
        <v>126</v>
      </c>
      <c r="L295" t="s">
        <v>70</v>
      </c>
      <c r="N295">
        <f t="shared" si="20"/>
        <v>10</v>
      </c>
      <c r="O295">
        <f t="shared" si="21"/>
        <v>3</v>
      </c>
      <c r="P295" t="str">
        <f t="shared" si="22"/>
        <v>Observed Better</v>
      </c>
      <c r="Q295" t="str">
        <f t="shared" si="23"/>
        <v>March</v>
      </c>
      <c r="R295" t="str">
        <f t="shared" si="24"/>
        <v>Week 10</v>
      </c>
    </row>
    <row r="296" spans="1:18" x14ac:dyDescent="0.2">
      <c r="A296" s="11">
        <v>243437</v>
      </c>
      <c r="B296" s="2">
        <v>45359</v>
      </c>
      <c r="C296" t="s">
        <v>65</v>
      </c>
      <c r="D296" t="s">
        <v>66</v>
      </c>
      <c r="E296" t="s">
        <v>20</v>
      </c>
      <c r="F296" t="s">
        <v>10</v>
      </c>
      <c r="G296" t="s">
        <v>23</v>
      </c>
      <c r="H296" t="s">
        <v>67</v>
      </c>
      <c r="I296" t="s">
        <v>472</v>
      </c>
      <c r="J296" t="s">
        <v>125</v>
      </c>
      <c r="K296" t="s">
        <v>126</v>
      </c>
      <c r="L296" t="s">
        <v>70</v>
      </c>
      <c r="N296">
        <f t="shared" si="20"/>
        <v>10</v>
      </c>
      <c r="O296">
        <f t="shared" si="21"/>
        <v>3</v>
      </c>
      <c r="P296" t="str">
        <f t="shared" si="22"/>
        <v>Observed Better</v>
      </c>
      <c r="Q296" t="str">
        <f t="shared" si="23"/>
        <v>March</v>
      </c>
      <c r="R296" t="str">
        <f t="shared" si="24"/>
        <v>Week 10</v>
      </c>
    </row>
    <row r="297" spans="1:18" x14ac:dyDescent="0.2">
      <c r="A297" s="11">
        <v>243438</v>
      </c>
      <c r="B297" s="2">
        <v>45359</v>
      </c>
      <c r="C297" t="s">
        <v>65</v>
      </c>
      <c r="D297" t="s">
        <v>66</v>
      </c>
      <c r="E297" t="s">
        <v>16</v>
      </c>
      <c r="F297" t="s">
        <v>94</v>
      </c>
      <c r="H297" t="s">
        <v>67</v>
      </c>
      <c r="I297" t="s">
        <v>473</v>
      </c>
      <c r="J297" t="s">
        <v>35</v>
      </c>
      <c r="K297" t="s">
        <v>241</v>
      </c>
      <c r="L297" t="s">
        <v>70</v>
      </c>
      <c r="N297">
        <f t="shared" si="20"/>
        <v>10</v>
      </c>
      <c r="O297">
        <f t="shared" si="21"/>
        <v>3</v>
      </c>
      <c r="P297" t="str">
        <f t="shared" si="22"/>
        <v>Observed Better</v>
      </c>
      <c r="Q297" t="str">
        <f t="shared" si="23"/>
        <v>March</v>
      </c>
      <c r="R297" t="str">
        <f t="shared" si="24"/>
        <v>Week 10</v>
      </c>
    </row>
    <row r="298" spans="1:18" x14ac:dyDescent="0.2">
      <c r="A298" s="11">
        <v>243439</v>
      </c>
      <c r="B298" s="2">
        <v>45359</v>
      </c>
      <c r="C298" t="s">
        <v>65</v>
      </c>
      <c r="D298" t="s">
        <v>66</v>
      </c>
      <c r="E298" t="s">
        <v>20</v>
      </c>
      <c r="F298" t="s">
        <v>21</v>
      </c>
      <c r="G298" t="s">
        <v>22</v>
      </c>
      <c r="H298" t="s">
        <v>67</v>
      </c>
      <c r="I298" t="s">
        <v>474</v>
      </c>
      <c r="J298" t="s">
        <v>43</v>
      </c>
      <c r="K298" t="s">
        <v>141</v>
      </c>
      <c r="L298" t="s">
        <v>70</v>
      </c>
      <c r="N298">
        <f t="shared" si="20"/>
        <v>10</v>
      </c>
      <c r="O298">
        <f t="shared" si="21"/>
        <v>3</v>
      </c>
      <c r="P298" t="str">
        <f t="shared" si="22"/>
        <v>Observed Better</v>
      </c>
      <c r="Q298" t="str">
        <f t="shared" si="23"/>
        <v>March</v>
      </c>
      <c r="R298" t="str">
        <f t="shared" si="24"/>
        <v>Week 10</v>
      </c>
    </row>
    <row r="299" spans="1:18" x14ac:dyDescent="0.2">
      <c r="A299" s="11">
        <v>243440</v>
      </c>
      <c r="B299" s="2">
        <v>45359</v>
      </c>
      <c r="C299" t="s">
        <v>65</v>
      </c>
      <c r="D299" t="s">
        <v>66</v>
      </c>
      <c r="E299" t="s">
        <v>16</v>
      </c>
      <c r="F299" t="s">
        <v>17</v>
      </c>
      <c r="H299" t="s">
        <v>67</v>
      </c>
      <c r="I299" t="s">
        <v>475</v>
      </c>
      <c r="J299" t="s">
        <v>43</v>
      </c>
      <c r="K299" t="s">
        <v>141</v>
      </c>
      <c r="L299" t="s">
        <v>70</v>
      </c>
      <c r="N299">
        <f t="shared" si="20"/>
        <v>10</v>
      </c>
      <c r="O299">
        <f t="shared" si="21"/>
        <v>3</v>
      </c>
      <c r="P299" t="str">
        <f t="shared" si="22"/>
        <v>Observed Better</v>
      </c>
      <c r="Q299" t="str">
        <f t="shared" si="23"/>
        <v>March</v>
      </c>
      <c r="R299" t="str">
        <f t="shared" si="24"/>
        <v>Week 10</v>
      </c>
    </row>
    <row r="300" spans="1:18" x14ac:dyDescent="0.2">
      <c r="A300" s="11">
        <v>243441</v>
      </c>
      <c r="B300" s="2">
        <v>45359</v>
      </c>
      <c r="C300" t="s">
        <v>65</v>
      </c>
      <c r="D300" t="s">
        <v>66</v>
      </c>
      <c r="E300" t="s">
        <v>8</v>
      </c>
      <c r="F300" t="s">
        <v>9</v>
      </c>
      <c r="G300" t="s">
        <v>10</v>
      </c>
      <c r="H300" t="s">
        <v>67</v>
      </c>
      <c r="I300" t="s">
        <v>476</v>
      </c>
      <c r="J300" t="s">
        <v>43</v>
      </c>
      <c r="K300" t="s">
        <v>141</v>
      </c>
      <c r="L300" t="s">
        <v>70</v>
      </c>
      <c r="N300">
        <f t="shared" si="20"/>
        <v>10</v>
      </c>
      <c r="O300">
        <f t="shared" si="21"/>
        <v>3</v>
      </c>
      <c r="P300" t="str">
        <f t="shared" si="22"/>
        <v>Observed Better</v>
      </c>
      <c r="Q300" t="str">
        <f t="shared" si="23"/>
        <v>March</v>
      </c>
      <c r="R300" t="str">
        <f t="shared" si="24"/>
        <v>Week 10</v>
      </c>
    </row>
    <row r="301" spans="1:18" x14ac:dyDescent="0.2">
      <c r="A301" s="11">
        <v>243442</v>
      </c>
      <c r="B301" s="2">
        <v>45359</v>
      </c>
      <c r="C301" t="s">
        <v>65</v>
      </c>
      <c r="D301" t="s">
        <v>66</v>
      </c>
      <c r="E301" t="s">
        <v>8</v>
      </c>
      <c r="F301" t="s">
        <v>9</v>
      </c>
      <c r="G301" t="s">
        <v>10</v>
      </c>
      <c r="H301" t="s">
        <v>67</v>
      </c>
      <c r="I301" t="s">
        <v>477</v>
      </c>
      <c r="J301" t="s">
        <v>251</v>
      </c>
      <c r="K301" t="s">
        <v>252</v>
      </c>
      <c r="L301" t="s">
        <v>77</v>
      </c>
      <c r="N301">
        <f t="shared" si="20"/>
        <v>10</v>
      </c>
      <c r="O301">
        <f t="shared" si="21"/>
        <v>3</v>
      </c>
      <c r="P301" t="str">
        <f t="shared" si="22"/>
        <v>Provided Guidance</v>
      </c>
      <c r="Q301" t="str">
        <f t="shared" si="23"/>
        <v>March</v>
      </c>
      <c r="R301" t="str">
        <f t="shared" si="24"/>
        <v>Week 10</v>
      </c>
    </row>
    <row r="302" spans="1:18" x14ac:dyDescent="0.2">
      <c r="A302" s="11">
        <v>243443</v>
      </c>
      <c r="B302" s="2">
        <v>45359</v>
      </c>
      <c r="C302" t="s">
        <v>65</v>
      </c>
      <c r="D302" t="s">
        <v>66</v>
      </c>
      <c r="E302" t="s">
        <v>8</v>
      </c>
      <c r="F302" t="s">
        <v>9</v>
      </c>
      <c r="G302" t="s">
        <v>10</v>
      </c>
      <c r="H302" t="s">
        <v>67</v>
      </c>
      <c r="I302" t="s">
        <v>478</v>
      </c>
      <c r="J302" t="s">
        <v>251</v>
      </c>
      <c r="K302" t="s">
        <v>252</v>
      </c>
      <c r="L302" t="s">
        <v>77</v>
      </c>
      <c r="N302">
        <f t="shared" si="20"/>
        <v>10</v>
      </c>
      <c r="O302">
        <f t="shared" si="21"/>
        <v>3</v>
      </c>
      <c r="P302" t="str">
        <f t="shared" si="22"/>
        <v>Provided Guidance</v>
      </c>
      <c r="Q302" t="str">
        <f t="shared" si="23"/>
        <v>March</v>
      </c>
      <c r="R302" t="str">
        <f t="shared" si="24"/>
        <v>Week 10</v>
      </c>
    </row>
    <row r="303" spans="1:18" x14ac:dyDescent="0.2">
      <c r="A303" s="11">
        <v>243444</v>
      </c>
      <c r="B303" s="2">
        <v>45359</v>
      </c>
      <c r="C303" t="s">
        <v>65</v>
      </c>
      <c r="D303" t="s">
        <v>66</v>
      </c>
      <c r="E303" t="s">
        <v>20</v>
      </c>
      <c r="F303" t="s">
        <v>21</v>
      </c>
      <c r="G303" t="s">
        <v>22</v>
      </c>
      <c r="H303" t="s">
        <v>67</v>
      </c>
      <c r="I303" t="s">
        <v>479</v>
      </c>
      <c r="J303" t="s">
        <v>251</v>
      </c>
      <c r="K303" t="s">
        <v>252</v>
      </c>
      <c r="L303" t="s">
        <v>77</v>
      </c>
      <c r="N303">
        <f t="shared" si="20"/>
        <v>10</v>
      </c>
      <c r="O303">
        <f t="shared" si="21"/>
        <v>3</v>
      </c>
      <c r="P303" t="str">
        <f t="shared" si="22"/>
        <v>Provided Guidance</v>
      </c>
      <c r="Q303" t="str">
        <f t="shared" si="23"/>
        <v>March</v>
      </c>
      <c r="R303" t="str">
        <f t="shared" si="24"/>
        <v>Week 10</v>
      </c>
    </row>
    <row r="304" spans="1:18" x14ac:dyDescent="0.2">
      <c r="A304" s="11">
        <v>243445</v>
      </c>
      <c r="B304" s="2">
        <v>45361</v>
      </c>
      <c r="C304" t="s">
        <v>65</v>
      </c>
      <c r="D304" t="s">
        <v>66</v>
      </c>
      <c r="E304" t="s">
        <v>11</v>
      </c>
      <c r="F304" t="s">
        <v>363</v>
      </c>
      <c r="G304" t="s">
        <v>364</v>
      </c>
      <c r="H304" t="s">
        <v>67</v>
      </c>
      <c r="I304" t="s">
        <v>480</v>
      </c>
      <c r="J304" t="s">
        <v>115</v>
      </c>
      <c r="K304" t="s">
        <v>116</v>
      </c>
      <c r="L304" t="s">
        <v>70</v>
      </c>
      <c r="N304">
        <f t="shared" si="20"/>
        <v>11</v>
      </c>
      <c r="O304">
        <f t="shared" si="21"/>
        <v>3</v>
      </c>
      <c r="P304" t="str">
        <f t="shared" si="22"/>
        <v>Observed Better</v>
      </c>
      <c r="Q304" t="str">
        <f t="shared" si="23"/>
        <v>March</v>
      </c>
      <c r="R304" t="str">
        <f t="shared" si="24"/>
        <v>Week 11</v>
      </c>
    </row>
    <row r="305" spans="1:18" x14ac:dyDescent="0.2">
      <c r="A305" s="11">
        <v>243446</v>
      </c>
      <c r="B305" s="2">
        <v>45361</v>
      </c>
      <c r="C305" t="s">
        <v>65</v>
      </c>
      <c r="D305" t="s">
        <v>66</v>
      </c>
      <c r="E305" t="s">
        <v>11</v>
      </c>
      <c r="F305" t="s">
        <v>134</v>
      </c>
      <c r="G305" t="s">
        <v>135</v>
      </c>
      <c r="H305" t="s">
        <v>67</v>
      </c>
      <c r="I305" t="s">
        <v>481</v>
      </c>
      <c r="J305" t="s">
        <v>115</v>
      </c>
      <c r="K305" t="s">
        <v>116</v>
      </c>
      <c r="L305" t="s">
        <v>70</v>
      </c>
      <c r="N305">
        <f t="shared" si="20"/>
        <v>11</v>
      </c>
      <c r="O305">
        <f t="shared" si="21"/>
        <v>3</v>
      </c>
      <c r="P305" t="str">
        <f t="shared" si="22"/>
        <v>Observed Better</v>
      </c>
      <c r="Q305" t="str">
        <f t="shared" si="23"/>
        <v>March</v>
      </c>
      <c r="R305" t="str">
        <f t="shared" si="24"/>
        <v>Week 11</v>
      </c>
    </row>
    <row r="306" spans="1:18" x14ac:dyDescent="0.2">
      <c r="A306" s="11">
        <v>243447</v>
      </c>
      <c r="B306" s="2">
        <v>45361</v>
      </c>
      <c r="C306" t="s">
        <v>65</v>
      </c>
      <c r="D306" t="s">
        <v>66</v>
      </c>
      <c r="E306" t="s">
        <v>11</v>
      </c>
      <c r="F306" t="s">
        <v>134</v>
      </c>
      <c r="G306" t="s">
        <v>135</v>
      </c>
      <c r="H306" t="s">
        <v>67</v>
      </c>
      <c r="I306" t="s">
        <v>482</v>
      </c>
      <c r="J306" t="s">
        <v>115</v>
      </c>
      <c r="K306" t="s">
        <v>116</v>
      </c>
      <c r="L306" t="s">
        <v>70</v>
      </c>
      <c r="N306">
        <f t="shared" si="20"/>
        <v>11</v>
      </c>
      <c r="O306">
        <f t="shared" si="21"/>
        <v>3</v>
      </c>
      <c r="P306" t="str">
        <f t="shared" si="22"/>
        <v>Observed Better</v>
      </c>
      <c r="Q306" t="str">
        <f t="shared" si="23"/>
        <v>March</v>
      </c>
      <c r="R306" t="str">
        <f t="shared" si="24"/>
        <v>Week 11</v>
      </c>
    </row>
    <row r="307" spans="1:18" x14ac:dyDescent="0.2">
      <c r="A307" s="11">
        <v>243448</v>
      </c>
      <c r="B307" s="2">
        <v>45361</v>
      </c>
      <c r="C307" t="s">
        <v>65</v>
      </c>
      <c r="D307" t="s">
        <v>66</v>
      </c>
      <c r="E307" t="s">
        <v>11</v>
      </c>
      <c r="F307" t="s">
        <v>134</v>
      </c>
      <c r="G307" t="s">
        <v>370</v>
      </c>
      <c r="H307" t="s">
        <v>67</v>
      </c>
      <c r="I307" t="s">
        <v>483</v>
      </c>
      <c r="J307" t="s">
        <v>115</v>
      </c>
      <c r="K307" t="s">
        <v>116</v>
      </c>
      <c r="L307" t="s">
        <v>70</v>
      </c>
      <c r="N307">
        <f t="shared" si="20"/>
        <v>11</v>
      </c>
      <c r="O307">
        <f t="shared" si="21"/>
        <v>3</v>
      </c>
      <c r="P307" t="str">
        <f t="shared" si="22"/>
        <v>Observed Better</v>
      </c>
      <c r="Q307" t="str">
        <f t="shared" si="23"/>
        <v>March</v>
      </c>
      <c r="R307" t="str">
        <f t="shared" si="24"/>
        <v>Week 11</v>
      </c>
    </row>
    <row r="308" spans="1:18" x14ac:dyDescent="0.2">
      <c r="A308" s="11">
        <v>243449</v>
      </c>
      <c r="B308" s="2">
        <v>45361</v>
      </c>
      <c r="C308" t="s">
        <v>65</v>
      </c>
      <c r="D308" t="s">
        <v>66</v>
      </c>
      <c r="E308" t="s">
        <v>20</v>
      </c>
      <c r="F308" t="s">
        <v>21</v>
      </c>
      <c r="G308" t="s">
        <v>73</v>
      </c>
      <c r="H308" t="s">
        <v>67</v>
      </c>
      <c r="I308" t="s">
        <v>484</v>
      </c>
      <c r="J308" t="s">
        <v>115</v>
      </c>
      <c r="K308" t="s">
        <v>116</v>
      </c>
      <c r="L308" t="s">
        <v>70</v>
      </c>
      <c r="N308">
        <f t="shared" si="20"/>
        <v>11</v>
      </c>
      <c r="O308">
        <f t="shared" si="21"/>
        <v>3</v>
      </c>
      <c r="P308" t="str">
        <f t="shared" si="22"/>
        <v>Observed Better</v>
      </c>
      <c r="Q308" t="str">
        <f t="shared" si="23"/>
        <v>March</v>
      </c>
      <c r="R308" t="str">
        <f t="shared" si="24"/>
        <v>Week 11</v>
      </c>
    </row>
    <row r="309" spans="1:18" x14ac:dyDescent="0.2">
      <c r="A309" s="11">
        <v>243450</v>
      </c>
      <c r="B309" s="2">
        <v>45361</v>
      </c>
      <c r="C309" t="s">
        <v>65</v>
      </c>
      <c r="D309" t="s">
        <v>66</v>
      </c>
      <c r="E309" t="s">
        <v>8</v>
      </c>
      <c r="F309" t="s">
        <v>9</v>
      </c>
      <c r="G309" t="s">
        <v>203</v>
      </c>
      <c r="H309" t="s">
        <v>67</v>
      </c>
      <c r="I309" t="s">
        <v>485</v>
      </c>
      <c r="J309" t="s">
        <v>222</v>
      </c>
      <c r="K309" t="s">
        <v>223</v>
      </c>
      <c r="L309" t="s">
        <v>77</v>
      </c>
      <c r="M309" t="s">
        <v>486</v>
      </c>
      <c r="N309">
        <f t="shared" si="20"/>
        <v>11</v>
      </c>
      <c r="O309">
        <f t="shared" si="21"/>
        <v>3</v>
      </c>
      <c r="P309" t="str">
        <f t="shared" si="22"/>
        <v>Provided Guidance</v>
      </c>
      <c r="Q309" t="str">
        <f t="shared" si="23"/>
        <v>March</v>
      </c>
      <c r="R309" t="str">
        <f t="shared" si="24"/>
        <v>Week 11</v>
      </c>
    </row>
    <row r="310" spans="1:18" x14ac:dyDescent="0.2">
      <c r="A310" s="11">
        <v>243451</v>
      </c>
      <c r="B310" s="2">
        <v>45361</v>
      </c>
      <c r="C310" t="s">
        <v>65</v>
      </c>
      <c r="D310" t="s">
        <v>66</v>
      </c>
      <c r="E310" t="s">
        <v>8</v>
      </c>
      <c r="F310" t="s">
        <v>9</v>
      </c>
      <c r="G310" t="s">
        <v>203</v>
      </c>
      <c r="H310" t="s">
        <v>67</v>
      </c>
      <c r="I310" t="s">
        <v>485</v>
      </c>
      <c r="J310" t="s">
        <v>222</v>
      </c>
      <c r="K310" t="s">
        <v>223</v>
      </c>
      <c r="L310" t="s">
        <v>77</v>
      </c>
      <c r="M310" t="s">
        <v>486</v>
      </c>
      <c r="N310">
        <f t="shared" si="20"/>
        <v>11</v>
      </c>
      <c r="O310">
        <f t="shared" si="21"/>
        <v>3</v>
      </c>
      <c r="P310" t="str">
        <f t="shared" si="22"/>
        <v>Provided Guidance</v>
      </c>
      <c r="Q310" t="str">
        <f t="shared" si="23"/>
        <v>March</v>
      </c>
      <c r="R310" t="str">
        <f t="shared" si="24"/>
        <v>Week 11</v>
      </c>
    </row>
    <row r="311" spans="1:18" x14ac:dyDescent="0.2">
      <c r="A311" s="11">
        <v>243452</v>
      </c>
      <c r="B311" s="2">
        <v>45361</v>
      </c>
      <c r="C311" t="s">
        <v>65</v>
      </c>
      <c r="D311" t="s">
        <v>66</v>
      </c>
      <c r="E311" t="s">
        <v>11</v>
      </c>
      <c r="F311" t="s">
        <v>12</v>
      </c>
      <c r="G311" t="s">
        <v>15</v>
      </c>
      <c r="H311" t="s">
        <v>67</v>
      </c>
      <c r="I311" t="s">
        <v>487</v>
      </c>
      <c r="J311" t="s">
        <v>222</v>
      </c>
      <c r="K311" t="s">
        <v>223</v>
      </c>
      <c r="L311" t="s">
        <v>70</v>
      </c>
      <c r="M311" t="s">
        <v>488</v>
      </c>
      <c r="N311">
        <f t="shared" si="20"/>
        <v>11</v>
      </c>
      <c r="O311">
        <f t="shared" si="21"/>
        <v>3</v>
      </c>
      <c r="P311" t="str">
        <f t="shared" si="22"/>
        <v>Observed Better</v>
      </c>
      <c r="Q311" t="str">
        <f t="shared" si="23"/>
        <v>March</v>
      </c>
      <c r="R311" t="str">
        <f t="shared" si="24"/>
        <v>Week 11</v>
      </c>
    </row>
    <row r="312" spans="1:18" x14ac:dyDescent="0.2">
      <c r="A312" s="11">
        <v>243453</v>
      </c>
      <c r="B312" s="2">
        <v>45361</v>
      </c>
      <c r="C312" t="s">
        <v>65</v>
      </c>
      <c r="D312" t="s">
        <v>66</v>
      </c>
      <c r="E312" t="s">
        <v>11</v>
      </c>
      <c r="F312" t="s">
        <v>12</v>
      </c>
      <c r="G312" t="s">
        <v>15</v>
      </c>
      <c r="H312" t="s">
        <v>67</v>
      </c>
      <c r="I312" t="s">
        <v>487</v>
      </c>
      <c r="J312" t="s">
        <v>222</v>
      </c>
      <c r="K312" t="s">
        <v>223</v>
      </c>
      <c r="L312" t="s">
        <v>70</v>
      </c>
      <c r="M312" t="s">
        <v>488</v>
      </c>
      <c r="N312">
        <f t="shared" si="20"/>
        <v>11</v>
      </c>
      <c r="O312">
        <f t="shared" si="21"/>
        <v>3</v>
      </c>
      <c r="P312" t="str">
        <f t="shared" si="22"/>
        <v>Observed Better</v>
      </c>
      <c r="Q312" t="str">
        <f t="shared" si="23"/>
        <v>March</v>
      </c>
      <c r="R312" t="str">
        <f t="shared" si="24"/>
        <v>Week 11</v>
      </c>
    </row>
    <row r="313" spans="1:18" x14ac:dyDescent="0.2">
      <c r="A313" s="11">
        <v>243454</v>
      </c>
      <c r="B313" s="2">
        <v>45361</v>
      </c>
      <c r="C313" t="s">
        <v>65</v>
      </c>
      <c r="D313" t="s">
        <v>66</v>
      </c>
      <c r="E313" t="s">
        <v>8</v>
      </c>
      <c r="F313" t="s">
        <v>427</v>
      </c>
      <c r="G313" t="s">
        <v>489</v>
      </c>
      <c r="H313" t="s">
        <v>67</v>
      </c>
      <c r="I313" t="s">
        <v>490</v>
      </c>
      <c r="J313" t="s">
        <v>222</v>
      </c>
      <c r="K313" t="s">
        <v>223</v>
      </c>
      <c r="L313" t="s">
        <v>70</v>
      </c>
      <c r="M313" t="s">
        <v>491</v>
      </c>
      <c r="N313">
        <f t="shared" si="20"/>
        <v>11</v>
      </c>
      <c r="O313">
        <f t="shared" si="21"/>
        <v>3</v>
      </c>
      <c r="P313" t="str">
        <f t="shared" si="22"/>
        <v>Observed Better</v>
      </c>
      <c r="Q313" t="str">
        <f t="shared" si="23"/>
        <v>March</v>
      </c>
      <c r="R313" t="str">
        <f t="shared" si="24"/>
        <v>Week 11</v>
      </c>
    </row>
    <row r="314" spans="1:18" x14ac:dyDescent="0.2">
      <c r="A314" s="11">
        <v>243455</v>
      </c>
      <c r="B314" s="2">
        <v>45361</v>
      </c>
      <c r="C314" t="s">
        <v>65</v>
      </c>
      <c r="D314" t="s">
        <v>66</v>
      </c>
      <c r="E314" t="s">
        <v>8</v>
      </c>
      <c r="F314" t="s">
        <v>427</v>
      </c>
      <c r="G314" t="s">
        <v>489</v>
      </c>
      <c r="H314" t="s">
        <v>67</v>
      </c>
      <c r="I314" t="s">
        <v>490</v>
      </c>
      <c r="J314" t="s">
        <v>222</v>
      </c>
      <c r="K314" t="s">
        <v>223</v>
      </c>
      <c r="L314" t="s">
        <v>70</v>
      </c>
      <c r="M314" t="s">
        <v>491</v>
      </c>
      <c r="N314">
        <f t="shared" si="20"/>
        <v>11</v>
      </c>
      <c r="O314">
        <f t="shared" si="21"/>
        <v>3</v>
      </c>
      <c r="P314" t="str">
        <f t="shared" si="22"/>
        <v>Observed Better</v>
      </c>
      <c r="Q314" t="str">
        <f t="shared" si="23"/>
        <v>March</v>
      </c>
      <c r="R314" t="str">
        <f t="shared" si="24"/>
        <v>Week 11</v>
      </c>
    </row>
    <row r="315" spans="1:18" x14ac:dyDescent="0.2">
      <c r="A315" s="11">
        <v>243460</v>
      </c>
      <c r="B315" s="2">
        <v>45362</v>
      </c>
      <c r="C315" t="s">
        <v>65</v>
      </c>
      <c r="D315" t="s">
        <v>66</v>
      </c>
      <c r="E315" t="s">
        <v>11</v>
      </c>
      <c r="F315" t="s">
        <v>134</v>
      </c>
      <c r="G315" t="s">
        <v>135</v>
      </c>
      <c r="H315" t="s">
        <v>67</v>
      </c>
      <c r="I315" t="s">
        <v>492</v>
      </c>
      <c r="J315" t="s">
        <v>125</v>
      </c>
      <c r="K315" t="s">
        <v>126</v>
      </c>
      <c r="L315" t="s">
        <v>70</v>
      </c>
      <c r="N315">
        <f t="shared" si="20"/>
        <v>11</v>
      </c>
      <c r="O315">
        <f t="shared" si="21"/>
        <v>3</v>
      </c>
      <c r="P315" t="str">
        <f t="shared" si="22"/>
        <v>Observed Better</v>
      </c>
      <c r="Q315" t="str">
        <f t="shared" si="23"/>
        <v>March</v>
      </c>
      <c r="R315" t="str">
        <f t="shared" si="24"/>
        <v>Week 11</v>
      </c>
    </row>
    <row r="316" spans="1:18" x14ac:dyDescent="0.2">
      <c r="A316" s="11">
        <v>243461</v>
      </c>
      <c r="B316" s="2">
        <v>45362</v>
      </c>
      <c r="C316" t="s">
        <v>65</v>
      </c>
      <c r="D316" t="s">
        <v>66</v>
      </c>
      <c r="E316" t="s">
        <v>11</v>
      </c>
      <c r="F316" t="s">
        <v>134</v>
      </c>
      <c r="G316" t="s">
        <v>135</v>
      </c>
      <c r="H316" t="s">
        <v>67</v>
      </c>
      <c r="I316" t="s">
        <v>492</v>
      </c>
      <c r="J316" t="s">
        <v>125</v>
      </c>
      <c r="K316" t="s">
        <v>126</v>
      </c>
      <c r="L316" t="s">
        <v>70</v>
      </c>
      <c r="N316">
        <f t="shared" si="20"/>
        <v>11</v>
      </c>
      <c r="O316">
        <f t="shared" si="21"/>
        <v>3</v>
      </c>
      <c r="P316" t="str">
        <f t="shared" si="22"/>
        <v>Observed Better</v>
      </c>
      <c r="Q316" t="str">
        <f t="shared" si="23"/>
        <v>March</v>
      </c>
      <c r="R316" t="str">
        <f t="shared" si="24"/>
        <v>Week 11</v>
      </c>
    </row>
    <row r="317" spans="1:18" x14ac:dyDescent="0.2">
      <c r="A317" s="11">
        <v>243464</v>
      </c>
      <c r="B317" s="2">
        <v>45364</v>
      </c>
      <c r="C317" t="s">
        <v>65</v>
      </c>
      <c r="D317" t="s">
        <v>66</v>
      </c>
      <c r="E317" t="s">
        <v>11</v>
      </c>
      <c r="F317" t="s">
        <v>12</v>
      </c>
      <c r="G317" t="s">
        <v>15</v>
      </c>
      <c r="H317" t="s">
        <v>67</v>
      </c>
      <c r="I317" t="s">
        <v>493</v>
      </c>
      <c r="J317" t="s">
        <v>125</v>
      </c>
      <c r="K317" t="s">
        <v>126</v>
      </c>
      <c r="L317" t="s">
        <v>70</v>
      </c>
      <c r="N317">
        <f t="shared" si="20"/>
        <v>11</v>
      </c>
      <c r="O317">
        <f t="shared" si="21"/>
        <v>3</v>
      </c>
      <c r="P317" t="str">
        <f t="shared" si="22"/>
        <v>Observed Better</v>
      </c>
      <c r="Q317" t="str">
        <f t="shared" si="23"/>
        <v>March</v>
      </c>
      <c r="R317" t="str">
        <f t="shared" si="24"/>
        <v>Week 11</v>
      </c>
    </row>
    <row r="318" spans="1:18" x14ac:dyDescent="0.2">
      <c r="A318" s="11">
        <v>243465</v>
      </c>
      <c r="B318" s="2">
        <v>45364</v>
      </c>
      <c r="C318" t="s">
        <v>65</v>
      </c>
      <c r="D318" t="s">
        <v>66</v>
      </c>
      <c r="E318" t="s">
        <v>11</v>
      </c>
      <c r="F318" t="s">
        <v>12</v>
      </c>
      <c r="G318" t="s">
        <v>15</v>
      </c>
      <c r="H318" t="s">
        <v>67</v>
      </c>
      <c r="I318" t="s">
        <v>493</v>
      </c>
      <c r="J318" t="s">
        <v>125</v>
      </c>
      <c r="K318" t="s">
        <v>126</v>
      </c>
      <c r="L318" t="s">
        <v>70</v>
      </c>
      <c r="N318">
        <f t="shared" si="20"/>
        <v>11</v>
      </c>
      <c r="O318">
        <f t="shared" si="21"/>
        <v>3</v>
      </c>
      <c r="P318" t="str">
        <f t="shared" si="22"/>
        <v>Observed Better</v>
      </c>
      <c r="Q318" t="str">
        <f t="shared" si="23"/>
        <v>March</v>
      </c>
      <c r="R318" t="str">
        <f t="shared" si="24"/>
        <v>Week 11</v>
      </c>
    </row>
    <row r="319" spans="1:18" x14ac:dyDescent="0.2">
      <c r="A319" s="11">
        <v>243466</v>
      </c>
      <c r="B319" s="2">
        <v>45364</v>
      </c>
      <c r="C319" t="s">
        <v>65</v>
      </c>
      <c r="D319" t="s">
        <v>66</v>
      </c>
      <c r="E319" t="s">
        <v>11</v>
      </c>
      <c r="F319" t="s">
        <v>131</v>
      </c>
      <c r="G319" t="s">
        <v>11</v>
      </c>
      <c r="H319" t="s">
        <v>67</v>
      </c>
      <c r="I319" t="s">
        <v>494</v>
      </c>
      <c r="J319" t="s">
        <v>125</v>
      </c>
      <c r="K319" t="s">
        <v>126</v>
      </c>
      <c r="L319" t="s">
        <v>70</v>
      </c>
      <c r="N319">
        <f t="shared" si="20"/>
        <v>11</v>
      </c>
      <c r="O319">
        <f t="shared" si="21"/>
        <v>3</v>
      </c>
      <c r="P319" t="str">
        <f t="shared" si="22"/>
        <v>Observed Better</v>
      </c>
      <c r="Q319" t="str">
        <f t="shared" si="23"/>
        <v>March</v>
      </c>
      <c r="R319" t="str">
        <f t="shared" si="24"/>
        <v>Week 11</v>
      </c>
    </row>
    <row r="320" spans="1:18" x14ac:dyDescent="0.2">
      <c r="A320" s="11">
        <v>243467</v>
      </c>
      <c r="B320" s="2">
        <v>45364</v>
      </c>
      <c r="C320" t="s">
        <v>65</v>
      </c>
      <c r="D320" t="s">
        <v>66</v>
      </c>
      <c r="E320" t="s">
        <v>11</v>
      </c>
      <c r="F320" t="s">
        <v>131</v>
      </c>
      <c r="G320" t="s">
        <v>11</v>
      </c>
      <c r="H320" t="s">
        <v>67</v>
      </c>
      <c r="I320" t="s">
        <v>494</v>
      </c>
      <c r="J320" t="s">
        <v>125</v>
      </c>
      <c r="K320" t="s">
        <v>126</v>
      </c>
      <c r="L320" t="s">
        <v>70</v>
      </c>
      <c r="N320">
        <f t="shared" si="20"/>
        <v>11</v>
      </c>
      <c r="O320">
        <f t="shared" si="21"/>
        <v>3</v>
      </c>
      <c r="P320" t="str">
        <f t="shared" si="22"/>
        <v>Observed Better</v>
      </c>
      <c r="Q320" t="str">
        <f t="shared" si="23"/>
        <v>March</v>
      </c>
      <c r="R320" t="str">
        <f t="shared" si="24"/>
        <v>Week 11</v>
      </c>
    </row>
    <row r="321" spans="1:18" x14ac:dyDescent="0.2">
      <c r="A321" s="11">
        <v>243470</v>
      </c>
      <c r="B321" s="2">
        <v>45364</v>
      </c>
      <c r="C321" t="s">
        <v>65</v>
      </c>
      <c r="D321" t="s">
        <v>66</v>
      </c>
      <c r="E321" t="s">
        <v>20</v>
      </c>
      <c r="F321" t="s">
        <v>235</v>
      </c>
      <c r="H321" t="s">
        <v>67</v>
      </c>
      <c r="I321" t="s">
        <v>495</v>
      </c>
      <c r="J321" t="s">
        <v>110</v>
      </c>
      <c r="K321" t="s">
        <v>111</v>
      </c>
      <c r="L321" t="s">
        <v>70</v>
      </c>
      <c r="N321">
        <f t="shared" si="20"/>
        <v>11</v>
      </c>
      <c r="O321">
        <f t="shared" si="21"/>
        <v>3</v>
      </c>
      <c r="P321" t="str">
        <f t="shared" si="22"/>
        <v>Observed Better</v>
      </c>
      <c r="Q321" t="str">
        <f t="shared" si="23"/>
        <v>March</v>
      </c>
      <c r="R321" t="str">
        <f t="shared" si="24"/>
        <v>Week 11</v>
      </c>
    </row>
    <row r="322" spans="1:18" x14ac:dyDescent="0.2">
      <c r="A322" s="11">
        <v>243471</v>
      </c>
      <c r="B322" s="2">
        <v>45364</v>
      </c>
      <c r="C322" t="s">
        <v>65</v>
      </c>
      <c r="D322" t="s">
        <v>66</v>
      </c>
      <c r="E322" t="s">
        <v>20</v>
      </c>
      <c r="F322" t="s">
        <v>235</v>
      </c>
      <c r="H322" t="s">
        <v>67</v>
      </c>
      <c r="I322" t="s">
        <v>496</v>
      </c>
      <c r="J322" t="s">
        <v>110</v>
      </c>
      <c r="K322" t="s">
        <v>111</v>
      </c>
      <c r="L322" t="s">
        <v>77</v>
      </c>
      <c r="N322">
        <f t="shared" ref="N322:N385" si="25">IF(ISBLANK(B322)," ",WEEKNUM(B322))</f>
        <v>11</v>
      </c>
      <c r="O322">
        <f t="shared" ref="O322:O385" si="26">IF(ISBLANK(B322)," ",MONTH(B322))</f>
        <v>3</v>
      </c>
      <c r="P322" t="str">
        <f t="shared" ref="P322:P385" si="27">IF(ISNUMBER(SEARCH("provided",L322)),"Provided Guidance","Observed Better")</f>
        <v>Provided Guidance</v>
      </c>
      <c r="Q322" t="str">
        <f t="shared" ref="Q322:Q385" si="28">IF(O322=" "," ",TEXT(O322*29,"mmmm"))</f>
        <v>March</v>
      </c>
      <c r="R322" t="str">
        <f t="shared" ref="R322:R385" si="29">IF(N322=" "," ",_xlfn.CONCAT("Week ",+TEXT(N322,"0")))</f>
        <v>Week 11</v>
      </c>
    </row>
    <row r="323" spans="1:18" x14ac:dyDescent="0.2">
      <c r="A323" s="11">
        <v>243472</v>
      </c>
      <c r="B323" s="2">
        <v>45364</v>
      </c>
      <c r="C323" t="s">
        <v>65</v>
      </c>
      <c r="D323" t="s">
        <v>66</v>
      </c>
      <c r="E323" t="s">
        <v>20</v>
      </c>
      <c r="F323" t="s">
        <v>235</v>
      </c>
      <c r="H323" t="s">
        <v>67</v>
      </c>
      <c r="I323" t="s">
        <v>497</v>
      </c>
      <c r="J323" t="s">
        <v>110</v>
      </c>
      <c r="K323" t="s">
        <v>111</v>
      </c>
      <c r="L323" t="s">
        <v>70</v>
      </c>
      <c r="N323">
        <f t="shared" si="25"/>
        <v>11</v>
      </c>
      <c r="O323">
        <f t="shared" si="26"/>
        <v>3</v>
      </c>
      <c r="P323" t="str">
        <f t="shared" si="27"/>
        <v>Observed Better</v>
      </c>
      <c r="Q323" t="str">
        <f t="shared" si="28"/>
        <v>March</v>
      </c>
      <c r="R323" t="str">
        <f t="shared" si="29"/>
        <v>Week 11</v>
      </c>
    </row>
    <row r="324" spans="1:18" x14ac:dyDescent="0.2">
      <c r="A324" s="11">
        <v>243473</v>
      </c>
      <c r="B324" s="2">
        <v>45365</v>
      </c>
      <c r="C324" t="s">
        <v>65</v>
      </c>
      <c r="D324" t="s">
        <v>66</v>
      </c>
      <c r="E324" t="s">
        <v>24</v>
      </c>
      <c r="F324" t="s">
        <v>10</v>
      </c>
      <c r="G324" t="s">
        <v>26</v>
      </c>
      <c r="H324" t="s">
        <v>67</v>
      </c>
      <c r="I324" t="s">
        <v>498</v>
      </c>
      <c r="J324" t="s">
        <v>37</v>
      </c>
      <c r="K324" t="s">
        <v>69</v>
      </c>
      <c r="L324" t="s">
        <v>70</v>
      </c>
      <c r="N324">
        <f t="shared" si="25"/>
        <v>11</v>
      </c>
      <c r="O324">
        <f t="shared" si="26"/>
        <v>3</v>
      </c>
      <c r="P324" t="str">
        <f t="shared" si="27"/>
        <v>Observed Better</v>
      </c>
      <c r="Q324" t="str">
        <f t="shared" si="28"/>
        <v>March</v>
      </c>
      <c r="R324" t="str">
        <f t="shared" si="29"/>
        <v>Week 11</v>
      </c>
    </row>
    <row r="325" spans="1:18" x14ac:dyDescent="0.2">
      <c r="A325" s="11">
        <v>243474</v>
      </c>
      <c r="B325" s="2">
        <v>45366</v>
      </c>
      <c r="C325" t="s">
        <v>65</v>
      </c>
      <c r="D325" t="s">
        <v>66</v>
      </c>
      <c r="E325" t="s">
        <v>16</v>
      </c>
      <c r="F325" t="s">
        <v>17</v>
      </c>
      <c r="H325" t="s">
        <v>67</v>
      </c>
      <c r="I325" t="s">
        <v>499</v>
      </c>
      <c r="J325" t="s">
        <v>40</v>
      </c>
      <c r="K325" t="s">
        <v>76</v>
      </c>
      <c r="L325" t="s">
        <v>77</v>
      </c>
      <c r="M325" t="s">
        <v>500</v>
      </c>
      <c r="N325">
        <f t="shared" si="25"/>
        <v>11</v>
      </c>
      <c r="O325">
        <f t="shared" si="26"/>
        <v>3</v>
      </c>
      <c r="P325" t="str">
        <f t="shared" si="27"/>
        <v>Provided Guidance</v>
      </c>
      <c r="Q325" t="str">
        <f t="shared" si="28"/>
        <v>March</v>
      </c>
      <c r="R325" t="str">
        <f t="shared" si="29"/>
        <v>Week 11</v>
      </c>
    </row>
    <row r="326" spans="1:18" x14ac:dyDescent="0.2">
      <c r="A326" s="11">
        <v>243475</v>
      </c>
      <c r="B326" s="2">
        <v>45366</v>
      </c>
      <c r="C326" t="s">
        <v>65</v>
      </c>
      <c r="D326" t="s">
        <v>66</v>
      </c>
      <c r="E326" t="s">
        <v>16</v>
      </c>
      <c r="F326" t="s">
        <v>17</v>
      </c>
      <c r="H326" t="s">
        <v>67</v>
      </c>
      <c r="I326" t="s">
        <v>501</v>
      </c>
      <c r="J326" t="s">
        <v>40</v>
      </c>
      <c r="K326" t="s">
        <v>76</v>
      </c>
      <c r="L326" t="s">
        <v>77</v>
      </c>
      <c r="M326" t="s">
        <v>502</v>
      </c>
      <c r="N326">
        <f t="shared" si="25"/>
        <v>11</v>
      </c>
      <c r="O326">
        <f t="shared" si="26"/>
        <v>3</v>
      </c>
      <c r="P326" t="str">
        <f t="shared" si="27"/>
        <v>Provided Guidance</v>
      </c>
      <c r="Q326" t="str">
        <f t="shared" si="28"/>
        <v>March</v>
      </c>
      <c r="R326" t="str">
        <f t="shared" si="29"/>
        <v>Week 11</v>
      </c>
    </row>
    <row r="327" spans="1:18" x14ac:dyDescent="0.2">
      <c r="A327" s="11">
        <v>243476</v>
      </c>
      <c r="B327" s="2">
        <v>45366</v>
      </c>
      <c r="C327" t="s">
        <v>65</v>
      </c>
      <c r="D327" t="s">
        <v>66</v>
      </c>
      <c r="E327" t="s">
        <v>16</v>
      </c>
      <c r="F327" t="s">
        <v>17</v>
      </c>
      <c r="H327" t="s">
        <v>67</v>
      </c>
      <c r="I327" t="s">
        <v>503</v>
      </c>
      <c r="J327" t="s">
        <v>40</v>
      </c>
      <c r="K327" t="s">
        <v>76</v>
      </c>
      <c r="L327" t="s">
        <v>77</v>
      </c>
      <c r="M327" t="s">
        <v>504</v>
      </c>
      <c r="N327">
        <f t="shared" si="25"/>
        <v>11</v>
      </c>
      <c r="O327">
        <f t="shared" si="26"/>
        <v>3</v>
      </c>
      <c r="P327" t="str">
        <f t="shared" si="27"/>
        <v>Provided Guidance</v>
      </c>
      <c r="Q327" t="str">
        <f t="shared" si="28"/>
        <v>March</v>
      </c>
      <c r="R327" t="str">
        <f t="shared" si="29"/>
        <v>Week 11</v>
      </c>
    </row>
    <row r="328" spans="1:18" x14ac:dyDescent="0.2">
      <c r="A328" s="11">
        <v>243477</v>
      </c>
      <c r="B328" s="2">
        <v>45366</v>
      </c>
      <c r="C328" t="s">
        <v>65</v>
      </c>
      <c r="D328" t="s">
        <v>66</v>
      </c>
      <c r="E328" t="s">
        <v>16</v>
      </c>
      <c r="F328" t="s">
        <v>17</v>
      </c>
      <c r="H328" t="s">
        <v>67</v>
      </c>
      <c r="I328" t="s">
        <v>505</v>
      </c>
      <c r="J328" t="s">
        <v>40</v>
      </c>
      <c r="K328" t="s">
        <v>76</v>
      </c>
      <c r="L328" t="s">
        <v>77</v>
      </c>
      <c r="M328" t="s">
        <v>506</v>
      </c>
      <c r="N328">
        <f t="shared" si="25"/>
        <v>11</v>
      </c>
      <c r="O328">
        <f t="shared" si="26"/>
        <v>3</v>
      </c>
      <c r="P328" t="str">
        <f t="shared" si="27"/>
        <v>Provided Guidance</v>
      </c>
      <c r="Q328" t="str">
        <f t="shared" si="28"/>
        <v>March</v>
      </c>
      <c r="R328" t="str">
        <f t="shared" si="29"/>
        <v>Week 11</v>
      </c>
    </row>
    <row r="329" spans="1:18" x14ac:dyDescent="0.2">
      <c r="A329" s="11">
        <v>243478</v>
      </c>
      <c r="B329" s="2">
        <v>45366</v>
      </c>
      <c r="C329" t="s">
        <v>65</v>
      </c>
      <c r="D329" t="s">
        <v>66</v>
      </c>
      <c r="E329" t="s">
        <v>16</v>
      </c>
      <c r="F329" t="s">
        <v>17</v>
      </c>
      <c r="H329" t="s">
        <v>67</v>
      </c>
      <c r="I329" t="s">
        <v>507</v>
      </c>
      <c r="J329" t="s">
        <v>40</v>
      </c>
      <c r="K329" t="s">
        <v>76</v>
      </c>
      <c r="L329" t="s">
        <v>77</v>
      </c>
      <c r="M329" t="s">
        <v>508</v>
      </c>
      <c r="N329">
        <f t="shared" si="25"/>
        <v>11</v>
      </c>
      <c r="O329">
        <f t="shared" si="26"/>
        <v>3</v>
      </c>
      <c r="P329" t="str">
        <f t="shared" si="27"/>
        <v>Provided Guidance</v>
      </c>
      <c r="Q329" t="str">
        <f t="shared" si="28"/>
        <v>March</v>
      </c>
      <c r="R329" t="str">
        <f t="shared" si="29"/>
        <v>Week 11</v>
      </c>
    </row>
    <row r="330" spans="1:18" x14ac:dyDescent="0.2">
      <c r="A330" s="11">
        <v>243479</v>
      </c>
      <c r="B330" s="2">
        <v>45366</v>
      </c>
      <c r="C330" t="s">
        <v>65</v>
      </c>
      <c r="D330" t="s">
        <v>66</v>
      </c>
      <c r="E330" t="s">
        <v>16</v>
      </c>
      <c r="F330" t="s">
        <v>17</v>
      </c>
      <c r="H330" t="s">
        <v>67</v>
      </c>
      <c r="I330" t="s">
        <v>509</v>
      </c>
      <c r="J330" t="s">
        <v>40</v>
      </c>
      <c r="K330" t="s">
        <v>76</v>
      </c>
      <c r="L330" t="s">
        <v>77</v>
      </c>
      <c r="M330" t="s">
        <v>510</v>
      </c>
      <c r="N330">
        <f t="shared" si="25"/>
        <v>11</v>
      </c>
      <c r="O330">
        <f t="shared" si="26"/>
        <v>3</v>
      </c>
      <c r="P330" t="str">
        <f t="shared" si="27"/>
        <v>Provided Guidance</v>
      </c>
      <c r="Q330" t="str">
        <f t="shared" si="28"/>
        <v>March</v>
      </c>
      <c r="R330" t="str">
        <f t="shared" si="29"/>
        <v>Week 11</v>
      </c>
    </row>
    <row r="331" spans="1:18" x14ac:dyDescent="0.2">
      <c r="A331" s="11">
        <v>243480</v>
      </c>
      <c r="B331" s="2">
        <v>45366</v>
      </c>
      <c r="C331" t="s">
        <v>65</v>
      </c>
      <c r="D331" t="s">
        <v>66</v>
      </c>
      <c r="E331" t="s">
        <v>16</v>
      </c>
      <c r="F331" t="s">
        <v>17</v>
      </c>
      <c r="H331" t="s">
        <v>67</v>
      </c>
      <c r="I331" t="s">
        <v>511</v>
      </c>
      <c r="J331" t="s">
        <v>40</v>
      </c>
      <c r="K331" t="s">
        <v>76</v>
      </c>
      <c r="L331" t="s">
        <v>77</v>
      </c>
      <c r="M331" t="s">
        <v>512</v>
      </c>
      <c r="N331">
        <f t="shared" si="25"/>
        <v>11</v>
      </c>
      <c r="O331">
        <f t="shared" si="26"/>
        <v>3</v>
      </c>
      <c r="P331" t="str">
        <f t="shared" si="27"/>
        <v>Provided Guidance</v>
      </c>
      <c r="Q331" t="str">
        <f t="shared" si="28"/>
        <v>March</v>
      </c>
      <c r="R331" t="str">
        <f t="shared" si="29"/>
        <v>Week 11</v>
      </c>
    </row>
    <row r="332" spans="1:18" x14ac:dyDescent="0.2">
      <c r="A332" s="11">
        <v>243481</v>
      </c>
      <c r="B332" s="2">
        <v>45366</v>
      </c>
      <c r="C332" t="s">
        <v>65</v>
      </c>
      <c r="D332" t="s">
        <v>66</v>
      </c>
      <c r="E332" t="s">
        <v>16</v>
      </c>
      <c r="F332" t="s">
        <v>17</v>
      </c>
      <c r="H332" t="s">
        <v>67</v>
      </c>
      <c r="I332" t="s">
        <v>513</v>
      </c>
      <c r="J332" t="s">
        <v>40</v>
      </c>
      <c r="K332" t="s">
        <v>76</v>
      </c>
      <c r="L332" t="s">
        <v>77</v>
      </c>
      <c r="M332" t="s">
        <v>514</v>
      </c>
      <c r="N332">
        <f t="shared" si="25"/>
        <v>11</v>
      </c>
      <c r="O332">
        <f t="shared" si="26"/>
        <v>3</v>
      </c>
      <c r="P332" t="str">
        <f t="shared" si="27"/>
        <v>Provided Guidance</v>
      </c>
      <c r="Q332" t="str">
        <f t="shared" si="28"/>
        <v>March</v>
      </c>
      <c r="R332" t="str">
        <f t="shared" si="29"/>
        <v>Week 11</v>
      </c>
    </row>
    <row r="333" spans="1:18" x14ac:dyDescent="0.2">
      <c r="A333" s="11">
        <v>243482</v>
      </c>
      <c r="B333" s="2">
        <v>45366</v>
      </c>
      <c r="C333" t="s">
        <v>65</v>
      </c>
      <c r="D333" t="s">
        <v>66</v>
      </c>
      <c r="E333" t="s">
        <v>16</v>
      </c>
      <c r="F333" t="s">
        <v>94</v>
      </c>
      <c r="H333" t="s">
        <v>67</v>
      </c>
      <c r="I333" t="s">
        <v>515</v>
      </c>
      <c r="J333" t="s">
        <v>37</v>
      </c>
      <c r="K333" t="s">
        <v>69</v>
      </c>
      <c r="L333" t="s">
        <v>70</v>
      </c>
      <c r="N333">
        <f t="shared" si="25"/>
        <v>11</v>
      </c>
      <c r="O333">
        <f t="shared" si="26"/>
        <v>3</v>
      </c>
      <c r="P333" t="str">
        <f t="shared" si="27"/>
        <v>Observed Better</v>
      </c>
      <c r="Q333" t="str">
        <f t="shared" si="28"/>
        <v>March</v>
      </c>
      <c r="R333" t="str">
        <f t="shared" si="29"/>
        <v>Week 11</v>
      </c>
    </row>
    <row r="334" spans="1:18" x14ac:dyDescent="0.2">
      <c r="A334" s="11">
        <v>243483</v>
      </c>
      <c r="B334" s="2">
        <v>45366</v>
      </c>
      <c r="C334" t="s">
        <v>65</v>
      </c>
      <c r="D334" t="s">
        <v>66</v>
      </c>
      <c r="E334" t="s">
        <v>16</v>
      </c>
      <c r="F334" t="s">
        <v>17</v>
      </c>
      <c r="H334" t="s">
        <v>67</v>
      </c>
      <c r="I334" t="s">
        <v>516</v>
      </c>
      <c r="J334" t="s">
        <v>40</v>
      </c>
      <c r="K334" t="s">
        <v>76</v>
      </c>
      <c r="L334" t="s">
        <v>77</v>
      </c>
      <c r="M334" t="s">
        <v>517</v>
      </c>
      <c r="N334">
        <f t="shared" si="25"/>
        <v>11</v>
      </c>
      <c r="O334">
        <f t="shared" si="26"/>
        <v>3</v>
      </c>
      <c r="P334" t="str">
        <f t="shared" si="27"/>
        <v>Provided Guidance</v>
      </c>
      <c r="Q334" t="str">
        <f t="shared" si="28"/>
        <v>March</v>
      </c>
      <c r="R334" t="str">
        <f t="shared" si="29"/>
        <v>Week 11</v>
      </c>
    </row>
    <row r="335" spans="1:18" x14ac:dyDescent="0.2">
      <c r="A335" s="11">
        <v>243484</v>
      </c>
      <c r="B335" s="2">
        <v>45366</v>
      </c>
      <c r="C335" t="s">
        <v>65</v>
      </c>
      <c r="D335" t="s">
        <v>66</v>
      </c>
      <c r="E335" t="s">
        <v>16</v>
      </c>
      <c r="F335" t="s">
        <v>17</v>
      </c>
      <c r="H335" t="s">
        <v>67</v>
      </c>
      <c r="I335" t="s">
        <v>518</v>
      </c>
      <c r="J335" t="s">
        <v>40</v>
      </c>
      <c r="K335" t="s">
        <v>76</v>
      </c>
      <c r="L335" t="s">
        <v>77</v>
      </c>
      <c r="M335" t="s">
        <v>519</v>
      </c>
      <c r="N335">
        <f t="shared" si="25"/>
        <v>11</v>
      </c>
      <c r="O335">
        <f t="shared" si="26"/>
        <v>3</v>
      </c>
      <c r="P335" t="str">
        <f t="shared" si="27"/>
        <v>Provided Guidance</v>
      </c>
      <c r="Q335" t="str">
        <f t="shared" si="28"/>
        <v>March</v>
      </c>
      <c r="R335" t="str">
        <f t="shared" si="29"/>
        <v>Week 11</v>
      </c>
    </row>
    <row r="336" spans="1:18" x14ac:dyDescent="0.2">
      <c r="A336" s="11">
        <v>243485</v>
      </c>
      <c r="B336" s="2">
        <v>45366</v>
      </c>
      <c r="C336" t="s">
        <v>65</v>
      </c>
      <c r="D336" t="s">
        <v>66</v>
      </c>
      <c r="E336" t="s">
        <v>16</v>
      </c>
      <c r="F336" t="s">
        <v>17</v>
      </c>
      <c r="H336" t="s">
        <v>67</v>
      </c>
      <c r="I336" t="s">
        <v>520</v>
      </c>
      <c r="J336" t="s">
        <v>40</v>
      </c>
      <c r="K336" t="s">
        <v>76</v>
      </c>
      <c r="L336" t="s">
        <v>77</v>
      </c>
      <c r="M336" t="s">
        <v>521</v>
      </c>
      <c r="N336">
        <f t="shared" si="25"/>
        <v>11</v>
      </c>
      <c r="O336">
        <f t="shared" si="26"/>
        <v>3</v>
      </c>
      <c r="P336" t="str">
        <f t="shared" si="27"/>
        <v>Provided Guidance</v>
      </c>
      <c r="Q336" t="str">
        <f t="shared" si="28"/>
        <v>March</v>
      </c>
      <c r="R336" t="str">
        <f t="shared" si="29"/>
        <v>Week 11</v>
      </c>
    </row>
    <row r="337" spans="1:18" x14ac:dyDescent="0.2">
      <c r="A337" s="11">
        <v>243486</v>
      </c>
      <c r="B337" s="2">
        <v>45366</v>
      </c>
      <c r="C337" t="s">
        <v>65</v>
      </c>
      <c r="D337" t="s">
        <v>66</v>
      </c>
      <c r="E337" t="s">
        <v>11</v>
      </c>
      <c r="F337" t="s">
        <v>134</v>
      </c>
      <c r="G337" t="s">
        <v>135</v>
      </c>
      <c r="H337" t="s">
        <v>67</v>
      </c>
      <c r="I337" t="s">
        <v>522</v>
      </c>
      <c r="J337" t="s">
        <v>37</v>
      </c>
      <c r="K337" t="s">
        <v>69</v>
      </c>
      <c r="L337" t="s">
        <v>70</v>
      </c>
      <c r="N337">
        <f t="shared" si="25"/>
        <v>11</v>
      </c>
      <c r="O337">
        <f t="shared" si="26"/>
        <v>3</v>
      </c>
      <c r="P337" t="str">
        <f t="shared" si="27"/>
        <v>Observed Better</v>
      </c>
      <c r="Q337" t="str">
        <f t="shared" si="28"/>
        <v>March</v>
      </c>
      <c r="R337" t="str">
        <f t="shared" si="29"/>
        <v>Week 11</v>
      </c>
    </row>
    <row r="338" spans="1:18" x14ac:dyDescent="0.2">
      <c r="A338" s="11">
        <v>243487</v>
      </c>
      <c r="B338" s="2">
        <v>45366</v>
      </c>
      <c r="C338" t="s">
        <v>65</v>
      </c>
      <c r="D338" t="s">
        <v>66</v>
      </c>
      <c r="E338" t="s">
        <v>20</v>
      </c>
      <c r="F338" t="s">
        <v>10</v>
      </c>
      <c r="G338" t="s">
        <v>23</v>
      </c>
      <c r="H338" t="s">
        <v>67</v>
      </c>
      <c r="I338" t="s">
        <v>523</v>
      </c>
      <c r="J338" t="s">
        <v>35</v>
      </c>
      <c r="K338" t="s">
        <v>241</v>
      </c>
      <c r="L338" t="s">
        <v>70</v>
      </c>
      <c r="N338">
        <f t="shared" si="25"/>
        <v>11</v>
      </c>
      <c r="O338">
        <f t="shared" si="26"/>
        <v>3</v>
      </c>
      <c r="P338" t="str">
        <f t="shared" si="27"/>
        <v>Observed Better</v>
      </c>
      <c r="Q338" t="str">
        <f t="shared" si="28"/>
        <v>March</v>
      </c>
      <c r="R338" t="str">
        <f t="shared" si="29"/>
        <v>Week 11</v>
      </c>
    </row>
    <row r="339" spans="1:18" x14ac:dyDescent="0.2">
      <c r="A339" s="11">
        <v>243488</v>
      </c>
      <c r="B339" s="2">
        <v>45366</v>
      </c>
      <c r="C339" t="s">
        <v>65</v>
      </c>
      <c r="D339" t="s">
        <v>66</v>
      </c>
      <c r="E339" t="s">
        <v>11</v>
      </c>
      <c r="F339" t="s">
        <v>134</v>
      </c>
      <c r="G339" t="s">
        <v>135</v>
      </c>
      <c r="H339" t="s">
        <v>67</v>
      </c>
      <c r="I339" t="s">
        <v>524</v>
      </c>
      <c r="J339" t="s">
        <v>35</v>
      </c>
      <c r="K339" t="s">
        <v>241</v>
      </c>
      <c r="L339" t="s">
        <v>70</v>
      </c>
      <c r="N339">
        <f t="shared" si="25"/>
        <v>11</v>
      </c>
      <c r="O339">
        <f t="shared" si="26"/>
        <v>3</v>
      </c>
      <c r="P339" t="str">
        <f t="shared" si="27"/>
        <v>Observed Better</v>
      </c>
      <c r="Q339" t="str">
        <f t="shared" si="28"/>
        <v>March</v>
      </c>
      <c r="R339" t="str">
        <f t="shared" si="29"/>
        <v>Week 11</v>
      </c>
    </row>
    <row r="340" spans="1:18" x14ac:dyDescent="0.2">
      <c r="A340" s="11">
        <v>243489</v>
      </c>
      <c r="B340" s="2">
        <v>45366</v>
      </c>
      <c r="C340" t="s">
        <v>65</v>
      </c>
      <c r="D340" t="s">
        <v>66</v>
      </c>
      <c r="E340" t="s">
        <v>16</v>
      </c>
      <c r="F340" t="s">
        <v>227</v>
      </c>
      <c r="H340" t="s">
        <v>67</v>
      </c>
      <c r="I340" t="s">
        <v>525</v>
      </c>
      <c r="J340" t="s">
        <v>35</v>
      </c>
      <c r="K340" t="s">
        <v>241</v>
      </c>
      <c r="L340" t="s">
        <v>70</v>
      </c>
      <c r="N340">
        <f t="shared" si="25"/>
        <v>11</v>
      </c>
      <c r="O340">
        <f t="shared" si="26"/>
        <v>3</v>
      </c>
      <c r="P340" t="str">
        <f t="shared" si="27"/>
        <v>Observed Better</v>
      </c>
      <c r="Q340" t="str">
        <f t="shared" si="28"/>
        <v>March</v>
      </c>
      <c r="R340" t="str">
        <f t="shared" si="29"/>
        <v>Week 11</v>
      </c>
    </row>
    <row r="341" spans="1:18" x14ac:dyDescent="0.2">
      <c r="A341" s="11">
        <v>243490</v>
      </c>
      <c r="B341" s="2">
        <v>45366</v>
      </c>
      <c r="C341" t="s">
        <v>65</v>
      </c>
      <c r="D341" t="s">
        <v>66</v>
      </c>
      <c r="E341" t="s">
        <v>20</v>
      </c>
      <c r="F341" t="s">
        <v>21</v>
      </c>
      <c r="G341" t="s">
        <v>22</v>
      </c>
      <c r="H341" t="s">
        <v>67</v>
      </c>
      <c r="I341" t="s">
        <v>526</v>
      </c>
      <c r="J341" t="s">
        <v>39</v>
      </c>
      <c r="K341" t="s">
        <v>244</v>
      </c>
      <c r="L341" t="s">
        <v>70</v>
      </c>
      <c r="N341">
        <f t="shared" si="25"/>
        <v>11</v>
      </c>
      <c r="O341">
        <f t="shared" si="26"/>
        <v>3</v>
      </c>
      <c r="P341" t="str">
        <f t="shared" si="27"/>
        <v>Observed Better</v>
      </c>
      <c r="Q341" t="str">
        <f t="shared" si="28"/>
        <v>March</v>
      </c>
      <c r="R341" t="str">
        <f t="shared" si="29"/>
        <v>Week 11</v>
      </c>
    </row>
    <row r="342" spans="1:18" x14ac:dyDescent="0.2">
      <c r="A342" s="11">
        <v>243491</v>
      </c>
      <c r="B342" s="2">
        <v>45366</v>
      </c>
      <c r="C342" t="s">
        <v>65</v>
      </c>
      <c r="D342" t="s">
        <v>66</v>
      </c>
      <c r="E342" t="s">
        <v>20</v>
      </c>
      <c r="F342" t="s">
        <v>21</v>
      </c>
      <c r="G342" t="s">
        <v>22</v>
      </c>
      <c r="H342" t="s">
        <v>67</v>
      </c>
      <c r="I342" t="s">
        <v>527</v>
      </c>
      <c r="J342" t="s">
        <v>39</v>
      </c>
      <c r="K342" t="s">
        <v>244</v>
      </c>
      <c r="L342" t="s">
        <v>70</v>
      </c>
      <c r="N342">
        <f t="shared" si="25"/>
        <v>11</v>
      </c>
      <c r="O342">
        <f t="shared" si="26"/>
        <v>3</v>
      </c>
      <c r="P342" t="str">
        <f t="shared" si="27"/>
        <v>Observed Better</v>
      </c>
      <c r="Q342" t="str">
        <f t="shared" si="28"/>
        <v>March</v>
      </c>
      <c r="R342" t="str">
        <f t="shared" si="29"/>
        <v>Week 11</v>
      </c>
    </row>
    <row r="343" spans="1:18" x14ac:dyDescent="0.2">
      <c r="A343" s="11">
        <v>243492</v>
      </c>
      <c r="B343" s="2">
        <v>45366</v>
      </c>
      <c r="C343" t="s">
        <v>65</v>
      </c>
      <c r="D343" t="s">
        <v>66</v>
      </c>
      <c r="E343" t="s">
        <v>8</v>
      </c>
      <c r="F343" t="s">
        <v>9</v>
      </c>
      <c r="G343" t="s">
        <v>528</v>
      </c>
      <c r="H343" t="s">
        <v>67</v>
      </c>
      <c r="I343" t="s">
        <v>529</v>
      </c>
      <c r="J343" t="s">
        <v>34</v>
      </c>
      <c r="K343" t="s">
        <v>295</v>
      </c>
      <c r="L343" t="s">
        <v>77</v>
      </c>
      <c r="M343" t="s">
        <v>357</v>
      </c>
      <c r="N343">
        <f t="shared" si="25"/>
        <v>11</v>
      </c>
      <c r="O343">
        <f t="shared" si="26"/>
        <v>3</v>
      </c>
      <c r="P343" t="str">
        <f t="shared" si="27"/>
        <v>Provided Guidance</v>
      </c>
      <c r="Q343" t="str">
        <f t="shared" si="28"/>
        <v>March</v>
      </c>
      <c r="R343" t="str">
        <f t="shared" si="29"/>
        <v>Week 11</v>
      </c>
    </row>
    <row r="344" spans="1:18" x14ac:dyDescent="0.2">
      <c r="A344" s="11">
        <v>243494</v>
      </c>
      <c r="B344" s="2">
        <v>45366</v>
      </c>
      <c r="C344" t="s">
        <v>65</v>
      </c>
      <c r="D344" t="s">
        <v>66</v>
      </c>
      <c r="E344" t="s">
        <v>20</v>
      </c>
      <c r="F344" t="s">
        <v>10</v>
      </c>
      <c r="G344" t="s">
        <v>23</v>
      </c>
      <c r="H344" t="s">
        <v>67</v>
      </c>
      <c r="I344" t="s">
        <v>530</v>
      </c>
      <c r="J344" t="s">
        <v>34</v>
      </c>
      <c r="K344" t="s">
        <v>295</v>
      </c>
      <c r="L344" t="s">
        <v>77</v>
      </c>
      <c r="M344" t="s">
        <v>357</v>
      </c>
      <c r="N344">
        <f t="shared" si="25"/>
        <v>11</v>
      </c>
      <c r="O344">
        <f t="shared" si="26"/>
        <v>3</v>
      </c>
      <c r="P344" t="str">
        <f t="shared" si="27"/>
        <v>Provided Guidance</v>
      </c>
      <c r="Q344" t="str">
        <f t="shared" si="28"/>
        <v>March</v>
      </c>
      <c r="R344" t="str">
        <f t="shared" si="29"/>
        <v>Week 11</v>
      </c>
    </row>
    <row r="345" spans="1:18" x14ac:dyDescent="0.2">
      <c r="A345" s="11">
        <v>243496</v>
      </c>
      <c r="B345" s="2">
        <v>45368</v>
      </c>
      <c r="C345" t="s">
        <v>65</v>
      </c>
      <c r="D345" t="s">
        <v>66</v>
      </c>
      <c r="E345" t="s">
        <v>8</v>
      </c>
      <c r="F345" t="s">
        <v>427</v>
      </c>
      <c r="G345" t="s">
        <v>489</v>
      </c>
      <c r="H345" t="s">
        <v>67</v>
      </c>
      <c r="I345" t="s">
        <v>531</v>
      </c>
      <c r="J345" t="s">
        <v>222</v>
      </c>
      <c r="K345" t="s">
        <v>223</v>
      </c>
      <c r="L345" t="s">
        <v>70</v>
      </c>
      <c r="M345" t="s">
        <v>532</v>
      </c>
      <c r="N345">
        <f t="shared" si="25"/>
        <v>12</v>
      </c>
      <c r="O345">
        <f t="shared" si="26"/>
        <v>3</v>
      </c>
      <c r="P345" t="str">
        <f t="shared" si="27"/>
        <v>Observed Better</v>
      </c>
      <c r="Q345" t="str">
        <f t="shared" si="28"/>
        <v>March</v>
      </c>
      <c r="R345" t="str">
        <f t="shared" si="29"/>
        <v>Week 12</v>
      </c>
    </row>
    <row r="346" spans="1:18" x14ac:dyDescent="0.2">
      <c r="A346" s="11">
        <v>243497</v>
      </c>
      <c r="B346" s="2">
        <v>45368</v>
      </c>
      <c r="C346" t="s">
        <v>65</v>
      </c>
      <c r="D346" t="s">
        <v>66</v>
      </c>
      <c r="E346" t="s">
        <v>20</v>
      </c>
      <c r="F346" t="s">
        <v>21</v>
      </c>
      <c r="G346" t="s">
        <v>22</v>
      </c>
      <c r="H346" t="s">
        <v>67</v>
      </c>
      <c r="I346" t="s">
        <v>533</v>
      </c>
      <c r="J346" t="s">
        <v>222</v>
      </c>
      <c r="K346" t="s">
        <v>223</v>
      </c>
      <c r="L346" t="s">
        <v>77</v>
      </c>
      <c r="M346" t="s">
        <v>534</v>
      </c>
      <c r="N346">
        <f t="shared" si="25"/>
        <v>12</v>
      </c>
      <c r="O346">
        <f t="shared" si="26"/>
        <v>3</v>
      </c>
      <c r="P346" t="str">
        <f t="shared" si="27"/>
        <v>Provided Guidance</v>
      </c>
      <c r="Q346" t="str">
        <f t="shared" si="28"/>
        <v>March</v>
      </c>
      <c r="R346" t="str">
        <f t="shared" si="29"/>
        <v>Week 12</v>
      </c>
    </row>
    <row r="347" spans="1:18" x14ac:dyDescent="0.2">
      <c r="A347" s="11">
        <v>243498</v>
      </c>
      <c r="B347" s="2">
        <v>45368</v>
      </c>
      <c r="C347" t="s">
        <v>65</v>
      </c>
      <c r="D347" t="s">
        <v>66</v>
      </c>
      <c r="E347" t="s">
        <v>20</v>
      </c>
      <c r="F347" t="s">
        <v>21</v>
      </c>
      <c r="G347" t="s">
        <v>73</v>
      </c>
      <c r="H347" t="s">
        <v>67</v>
      </c>
      <c r="I347" t="s">
        <v>535</v>
      </c>
      <c r="J347" t="s">
        <v>115</v>
      </c>
      <c r="K347" t="s">
        <v>116</v>
      </c>
      <c r="L347" t="s">
        <v>70</v>
      </c>
      <c r="N347">
        <f t="shared" si="25"/>
        <v>12</v>
      </c>
      <c r="O347">
        <f t="shared" si="26"/>
        <v>3</v>
      </c>
      <c r="P347" t="str">
        <f t="shared" si="27"/>
        <v>Observed Better</v>
      </c>
      <c r="Q347" t="str">
        <f t="shared" si="28"/>
        <v>March</v>
      </c>
      <c r="R347" t="str">
        <f t="shared" si="29"/>
        <v>Week 12</v>
      </c>
    </row>
    <row r="348" spans="1:18" x14ac:dyDescent="0.2">
      <c r="A348" s="11">
        <v>243499</v>
      </c>
      <c r="B348" s="2">
        <v>45368</v>
      </c>
      <c r="C348" t="s">
        <v>65</v>
      </c>
      <c r="D348" t="s">
        <v>66</v>
      </c>
      <c r="E348" t="s">
        <v>11</v>
      </c>
      <c r="F348" t="s">
        <v>363</v>
      </c>
      <c r="G348" t="s">
        <v>364</v>
      </c>
      <c r="H348" t="s">
        <v>67</v>
      </c>
      <c r="I348" t="s">
        <v>536</v>
      </c>
      <c r="J348" t="s">
        <v>222</v>
      </c>
      <c r="K348" t="s">
        <v>223</v>
      </c>
      <c r="L348" t="s">
        <v>70</v>
      </c>
      <c r="M348" t="s">
        <v>537</v>
      </c>
      <c r="N348">
        <f t="shared" si="25"/>
        <v>12</v>
      </c>
      <c r="O348">
        <f t="shared" si="26"/>
        <v>3</v>
      </c>
      <c r="P348" t="str">
        <f t="shared" si="27"/>
        <v>Observed Better</v>
      </c>
      <c r="Q348" t="str">
        <f t="shared" si="28"/>
        <v>March</v>
      </c>
      <c r="R348" t="str">
        <f t="shared" si="29"/>
        <v>Week 12</v>
      </c>
    </row>
    <row r="349" spans="1:18" x14ac:dyDescent="0.2">
      <c r="A349" s="11">
        <v>243502</v>
      </c>
      <c r="B349" s="2">
        <v>45370</v>
      </c>
      <c r="C349" t="s">
        <v>65</v>
      </c>
      <c r="D349" t="s">
        <v>66</v>
      </c>
      <c r="E349" t="s">
        <v>11</v>
      </c>
      <c r="F349" t="s">
        <v>12</v>
      </c>
      <c r="G349" t="s">
        <v>15</v>
      </c>
      <c r="H349" t="s">
        <v>67</v>
      </c>
      <c r="I349" t="s">
        <v>538</v>
      </c>
      <c r="J349" t="s">
        <v>455</v>
      </c>
      <c r="K349" t="s">
        <v>456</v>
      </c>
      <c r="L349" t="s">
        <v>70</v>
      </c>
      <c r="N349">
        <f t="shared" si="25"/>
        <v>12</v>
      </c>
      <c r="O349">
        <f t="shared" si="26"/>
        <v>3</v>
      </c>
      <c r="P349" t="str">
        <f t="shared" si="27"/>
        <v>Observed Better</v>
      </c>
      <c r="Q349" t="str">
        <f t="shared" si="28"/>
        <v>March</v>
      </c>
      <c r="R349" t="str">
        <f t="shared" si="29"/>
        <v>Week 12</v>
      </c>
    </row>
    <row r="350" spans="1:18" x14ac:dyDescent="0.2">
      <c r="A350" s="11">
        <v>243503</v>
      </c>
      <c r="B350" s="2">
        <v>45370</v>
      </c>
      <c r="C350" t="s">
        <v>65</v>
      </c>
      <c r="D350" t="s">
        <v>66</v>
      </c>
      <c r="E350" t="s">
        <v>11</v>
      </c>
      <c r="F350" t="s">
        <v>12</v>
      </c>
      <c r="G350" t="s">
        <v>15</v>
      </c>
      <c r="H350" t="s">
        <v>67</v>
      </c>
      <c r="I350" t="s">
        <v>539</v>
      </c>
      <c r="J350" t="s">
        <v>455</v>
      </c>
      <c r="K350" t="s">
        <v>456</v>
      </c>
      <c r="L350" t="s">
        <v>77</v>
      </c>
      <c r="M350" t="s">
        <v>540</v>
      </c>
      <c r="N350">
        <f t="shared" si="25"/>
        <v>12</v>
      </c>
      <c r="O350">
        <f t="shared" si="26"/>
        <v>3</v>
      </c>
      <c r="P350" t="str">
        <f t="shared" si="27"/>
        <v>Provided Guidance</v>
      </c>
      <c r="Q350" t="str">
        <f t="shared" si="28"/>
        <v>March</v>
      </c>
      <c r="R350" t="str">
        <f t="shared" si="29"/>
        <v>Week 12</v>
      </c>
    </row>
    <row r="351" spans="1:18" x14ac:dyDescent="0.2">
      <c r="A351" s="11">
        <v>243505</v>
      </c>
      <c r="B351" s="2">
        <v>45371</v>
      </c>
      <c r="C351" t="s">
        <v>65</v>
      </c>
      <c r="D351" t="s">
        <v>66</v>
      </c>
      <c r="E351" t="s">
        <v>11</v>
      </c>
      <c r="F351" t="s">
        <v>131</v>
      </c>
      <c r="G351" t="s">
        <v>11</v>
      </c>
      <c r="H351" t="s">
        <v>67</v>
      </c>
      <c r="I351" t="s">
        <v>541</v>
      </c>
      <c r="J351" t="s">
        <v>125</v>
      </c>
      <c r="K351" t="s">
        <v>126</v>
      </c>
      <c r="L351" t="s">
        <v>70</v>
      </c>
      <c r="N351">
        <f t="shared" si="25"/>
        <v>12</v>
      </c>
      <c r="O351">
        <f t="shared" si="26"/>
        <v>3</v>
      </c>
      <c r="P351" t="str">
        <f t="shared" si="27"/>
        <v>Observed Better</v>
      </c>
      <c r="Q351" t="str">
        <f t="shared" si="28"/>
        <v>March</v>
      </c>
      <c r="R351" t="str">
        <f t="shared" si="29"/>
        <v>Week 12</v>
      </c>
    </row>
    <row r="352" spans="1:18" x14ac:dyDescent="0.2">
      <c r="A352" s="11">
        <v>243506</v>
      </c>
      <c r="B352" s="2">
        <v>45371</v>
      </c>
      <c r="C352" t="s">
        <v>65</v>
      </c>
      <c r="D352" t="s">
        <v>66</v>
      </c>
      <c r="E352" t="s">
        <v>8</v>
      </c>
      <c r="F352" t="s">
        <v>9</v>
      </c>
      <c r="G352" t="s">
        <v>11</v>
      </c>
      <c r="H352" t="s">
        <v>67</v>
      </c>
      <c r="I352" t="s">
        <v>542</v>
      </c>
      <c r="J352" t="s">
        <v>125</v>
      </c>
      <c r="K352" t="s">
        <v>126</v>
      </c>
      <c r="L352" t="s">
        <v>70</v>
      </c>
      <c r="N352">
        <f t="shared" si="25"/>
        <v>12</v>
      </c>
      <c r="O352">
        <f t="shared" si="26"/>
        <v>3</v>
      </c>
      <c r="P352" t="str">
        <f t="shared" si="27"/>
        <v>Observed Better</v>
      </c>
      <c r="Q352" t="str">
        <f t="shared" si="28"/>
        <v>March</v>
      </c>
      <c r="R352" t="str">
        <f t="shared" si="29"/>
        <v>Week 12</v>
      </c>
    </row>
    <row r="353" spans="1:18" x14ac:dyDescent="0.2">
      <c r="A353" s="11">
        <v>243511</v>
      </c>
      <c r="B353" s="2">
        <v>45371</v>
      </c>
      <c r="C353" t="s">
        <v>65</v>
      </c>
      <c r="D353" t="s">
        <v>66</v>
      </c>
      <c r="E353" t="s">
        <v>11</v>
      </c>
      <c r="F353" t="s">
        <v>134</v>
      </c>
      <c r="G353" t="s">
        <v>370</v>
      </c>
      <c r="H353" t="s">
        <v>67</v>
      </c>
      <c r="I353" t="s">
        <v>543</v>
      </c>
      <c r="J353" t="s">
        <v>34</v>
      </c>
      <c r="K353" t="s">
        <v>295</v>
      </c>
      <c r="L353" t="s">
        <v>77</v>
      </c>
      <c r="M353" t="s">
        <v>357</v>
      </c>
      <c r="N353">
        <f t="shared" si="25"/>
        <v>12</v>
      </c>
      <c r="O353">
        <f t="shared" si="26"/>
        <v>3</v>
      </c>
      <c r="P353" t="str">
        <f t="shared" si="27"/>
        <v>Provided Guidance</v>
      </c>
      <c r="Q353" t="str">
        <f t="shared" si="28"/>
        <v>March</v>
      </c>
      <c r="R353" t="str">
        <f t="shared" si="29"/>
        <v>Week 12</v>
      </c>
    </row>
    <row r="354" spans="1:18" x14ac:dyDescent="0.2">
      <c r="A354" s="11">
        <v>243513</v>
      </c>
      <c r="B354" s="2">
        <v>45372</v>
      </c>
      <c r="C354" t="s">
        <v>65</v>
      </c>
      <c r="D354" t="s">
        <v>66</v>
      </c>
      <c r="E354" t="s">
        <v>8</v>
      </c>
      <c r="F354" t="s">
        <v>9</v>
      </c>
      <c r="G354" t="s">
        <v>203</v>
      </c>
      <c r="H354" t="s">
        <v>67</v>
      </c>
      <c r="I354" t="s">
        <v>544</v>
      </c>
      <c r="J354" t="s">
        <v>125</v>
      </c>
      <c r="K354" t="s">
        <v>126</v>
      </c>
      <c r="L354" t="s">
        <v>70</v>
      </c>
      <c r="N354">
        <f t="shared" si="25"/>
        <v>12</v>
      </c>
      <c r="O354">
        <f t="shared" si="26"/>
        <v>3</v>
      </c>
      <c r="P354" t="str">
        <f t="shared" si="27"/>
        <v>Observed Better</v>
      </c>
      <c r="Q354" t="str">
        <f t="shared" si="28"/>
        <v>March</v>
      </c>
      <c r="R354" t="str">
        <f t="shared" si="29"/>
        <v>Week 12</v>
      </c>
    </row>
    <row r="355" spans="1:18" x14ac:dyDescent="0.2">
      <c r="A355" s="11">
        <v>243514</v>
      </c>
      <c r="B355" s="2">
        <v>45372</v>
      </c>
      <c r="C355" t="s">
        <v>65</v>
      </c>
      <c r="D355" t="s">
        <v>66</v>
      </c>
      <c r="E355" t="s">
        <v>20</v>
      </c>
      <c r="F355" t="s">
        <v>21</v>
      </c>
      <c r="G355" t="s">
        <v>22</v>
      </c>
      <c r="H355" t="s">
        <v>67</v>
      </c>
      <c r="I355" t="s">
        <v>545</v>
      </c>
      <c r="J355" t="s">
        <v>41</v>
      </c>
      <c r="K355" t="s">
        <v>92</v>
      </c>
      <c r="L355" t="s">
        <v>70</v>
      </c>
      <c r="N355">
        <f t="shared" si="25"/>
        <v>12</v>
      </c>
      <c r="O355">
        <f t="shared" si="26"/>
        <v>3</v>
      </c>
      <c r="P355" t="str">
        <f t="shared" si="27"/>
        <v>Observed Better</v>
      </c>
      <c r="Q355" t="str">
        <f t="shared" si="28"/>
        <v>March</v>
      </c>
      <c r="R355" t="str">
        <f t="shared" si="29"/>
        <v>Week 12</v>
      </c>
    </row>
    <row r="356" spans="1:18" x14ac:dyDescent="0.2">
      <c r="A356" s="11">
        <v>243515</v>
      </c>
      <c r="B356" s="2">
        <v>45372</v>
      </c>
      <c r="C356" t="s">
        <v>65</v>
      </c>
      <c r="D356" t="s">
        <v>66</v>
      </c>
      <c r="E356" t="s">
        <v>20</v>
      </c>
      <c r="F356" t="s">
        <v>21</v>
      </c>
      <c r="G356" t="s">
        <v>73</v>
      </c>
      <c r="H356" t="s">
        <v>67</v>
      </c>
      <c r="I356" t="s">
        <v>546</v>
      </c>
      <c r="J356" t="s">
        <v>41</v>
      </c>
      <c r="K356" t="s">
        <v>92</v>
      </c>
      <c r="L356" t="s">
        <v>70</v>
      </c>
      <c r="N356">
        <f t="shared" si="25"/>
        <v>12</v>
      </c>
      <c r="O356">
        <f t="shared" si="26"/>
        <v>3</v>
      </c>
      <c r="P356" t="str">
        <f t="shared" si="27"/>
        <v>Observed Better</v>
      </c>
      <c r="Q356" t="str">
        <f t="shared" si="28"/>
        <v>March</v>
      </c>
      <c r="R356" t="str">
        <f t="shared" si="29"/>
        <v>Week 12</v>
      </c>
    </row>
    <row r="357" spans="1:18" x14ac:dyDescent="0.2">
      <c r="A357" s="11">
        <v>243516</v>
      </c>
      <c r="B357" s="2">
        <v>45372</v>
      </c>
      <c r="C357" t="s">
        <v>65</v>
      </c>
      <c r="D357" t="s">
        <v>66</v>
      </c>
      <c r="E357" t="s">
        <v>11</v>
      </c>
      <c r="F357" t="s">
        <v>12</v>
      </c>
      <c r="G357" t="s">
        <v>14</v>
      </c>
      <c r="H357" t="s">
        <v>67</v>
      </c>
      <c r="I357" t="s">
        <v>547</v>
      </c>
      <c r="J357" t="s">
        <v>40</v>
      </c>
      <c r="K357" t="s">
        <v>76</v>
      </c>
      <c r="L357" t="s">
        <v>77</v>
      </c>
      <c r="M357" t="s">
        <v>548</v>
      </c>
      <c r="N357">
        <f t="shared" si="25"/>
        <v>12</v>
      </c>
      <c r="O357">
        <f t="shared" si="26"/>
        <v>3</v>
      </c>
      <c r="P357" t="str">
        <f t="shared" si="27"/>
        <v>Provided Guidance</v>
      </c>
      <c r="Q357" t="str">
        <f t="shared" si="28"/>
        <v>March</v>
      </c>
      <c r="R357" t="str">
        <f t="shared" si="29"/>
        <v>Week 12</v>
      </c>
    </row>
    <row r="358" spans="1:18" x14ac:dyDescent="0.2">
      <c r="A358" s="11">
        <v>243517</v>
      </c>
      <c r="B358" s="2">
        <v>45372</v>
      </c>
      <c r="C358" t="s">
        <v>65</v>
      </c>
      <c r="D358" t="s">
        <v>66</v>
      </c>
      <c r="E358" t="s">
        <v>11</v>
      </c>
      <c r="F358" t="s">
        <v>12</v>
      </c>
      <c r="G358" t="s">
        <v>14</v>
      </c>
      <c r="H358" t="s">
        <v>67</v>
      </c>
      <c r="I358" t="s">
        <v>549</v>
      </c>
      <c r="J358" t="s">
        <v>40</v>
      </c>
      <c r="K358" t="s">
        <v>76</v>
      </c>
      <c r="L358" t="s">
        <v>77</v>
      </c>
      <c r="M358" t="s">
        <v>550</v>
      </c>
      <c r="N358">
        <f t="shared" si="25"/>
        <v>12</v>
      </c>
      <c r="O358">
        <f t="shared" si="26"/>
        <v>3</v>
      </c>
      <c r="P358" t="str">
        <f t="shared" si="27"/>
        <v>Provided Guidance</v>
      </c>
      <c r="Q358" t="str">
        <f t="shared" si="28"/>
        <v>March</v>
      </c>
      <c r="R358" t="str">
        <f t="shared" si="29"/>
        <v>Week 12</v>
      </c>
    </row>
    <row r="359" spans="1:18" x14ac:dyDescent="0.2">
      <c r="A359" s="11">
        <v>243518</v>
      </c>
      <c r="B359" s="2">
        <v>45372</v>
      </c>
      <c r="C359" t="s">
        <v>65</v>
      </c>
      <c r="D359" t="s">
        <v>66</v>
      </c>
      <c r="E359" t="s">
        <v>11</v>
      </c>
      <c r="F359" t="s">
        <v>12</v>
      </c>
      <c r="G359" t="s">
        <v>14</v>
      </c>
      <c r="H359" t="s">
        <v>67</v>
      </c>
      <c r="I359" t="s">
        <v>551</v>
      </c>
      <c r="J359" t="s">
        <v>40</v>
      </c>
      <c r="K359" t="s">
        <v>76</v>
      </c>
      <c r="L359" t="s">
        <v>77</v>
      </c>
      <c r="M359" t="s">
        <v>552</v>
      </c>
      <c r="N359">
        <f t="shared" si="25"/>
        <v>12</v>
      </c>
      <c r="O359">
        <f t="shared" si="26"/>
        <v>3</v>
      </c>
      <c r="P359" t="str">
        <f t="shared" si="27"/>
        <v>Provided Guidance</v>
      </c>
      <c r="Q359" t="str">
        <f t="shared" si="28"/>
        <v>March</v>
      </c>
      <c r="R359" t="str">
        <f t="shared" si="29"/>
        <v>Week 12</v>
      </c>
    </row>
    <row r="360" spans="1:18" x14ac:dyDescent="0.2">
      <c r="A360" s="11">
        <v>243519</v>
      </c>
      <c r="B360" s="2">
        <v>45372</v>
      </c>
      <c r="C360" t="s">
        <v>65</v>
      </c>
      <c r="D360" t="s">
        <v>66</v>
      </c>
      <c r="E360" t="s">
        <v>11</v>
      </c>
      <c r="F360" t="s">
        <v>12</v>
      </c>
      <c r="G360" t="s">
        <v>14</v>
      </c>
      <c r="H360" t="s">
        <v>67</v>
      </c>
      <c r="I360" t="s">
        <v>553</v>
      </c>
      <c r="J360" t="s">
        <v>40</v>
      </c>
      <c r="K360" t="s">
        <v>76</v>
      </c>
      <c r="L360" t="s">
        <v>77</v>
      </c>
      <c r="M360" t="s">
        <v>554</v>
      </c>
      <c r="N360">
        <f t="shared" si="25"/>
        <v>12</v>
      </c>
      <c r="O360">
        <f t="shared" si="26"/>
        <v>3</v>
      </c>
      <c r="P360" t="str">
        <f t="shared" si="27"/>
        <v>Provided Guidance</v>
      </c>
      <c r="Q360" t="str">
        <f t="shared" si="28"/>
        <v>March</v>
      </c>
      <c r="R360" t="str">
        <f t="shared" si="29"/>
        <v>Week 12</v>
      </c>
    </row>
    <row r="361" spans="1:18" x14ac:dyDescent="0.2">
      <c r="A361" s="11">
        <v>243520</v>
      </c>
      <c r="B361" s="2">
        <v>45372</v>
      </c>
      <c r="C361" t="s">
        <v>65</v>
      </c>
      <c r="D361" t="s">
        <v>66</v>
      </c>
      <c r="E361" t="s">
        <v>11</v>
      </c>
      <c r="F361" t="s">
        <v>12</v>
      </c>
      <c r="G361" t="s">
        <v>14</v>
      </c>
      <c r="H361" t="s">
        <v>67</v>
      </c>
      <c r="I361" t="s">
        <v>555</v>
      </c>
      <c r="J361" t="s">
        <v>40</v>
      </c>
      <c r="K361" t="s">
        <v>76</v>
      </c>
      <c r="L361" t="s">
        <v>77</v>
      </c>
      <c r="M361" t="s">
        <v>556</v>
      </c>
      <c r="N361">
        <f t="shared" si="25"/>
        <v>12</v>
      </c>
      <c r="O361">
        <f t="shared" si="26"/>
        <v>3</v>
      </c>
      <c r="P361" t="str">
        <f t="shared" si="27"/>
        <v>Provided Guidance</v>
      </c>
      <c r="Q361" t="str">
        <f t="shared" si="28"/>
        <v>March</v>
      </c>
      <c r="R361" t="str">
        <f t="shared" si="29"/>
        <v>Week 12</v>
      </c>
    </row>
    <row r="362" spans="1:18" x14ac:dyDescent="0.2">
      <c r="A362" s="11">
        <v>243521</v>
      </c>
      <c r="B362" s="2">
        <v>45372</v>
      </c>
      <c r="C362" t="s">
        <v>65</v>
      </c>
      <c r="D362" t="s">
        <v>66</v>
      </c>
      <c r="E362" t="s">
        <v>11</v>
      </c>
      <c r="F362" t="s">
        <v>12</v>
      </c>
      <c r="G362" t="s">
        <v>14</v>
      </c>
      <c r="H362" t="s">
        <v>67</v>
      </c>
      <c r="I362" t="s">
        <v>557</v>
      </c>
      <c r="J362" t="s">
        <v>40</v>
      </c>
      <c r="K362" t="s">
        <v>76</v>
      </c>
      <c r="L362" t="s">
        <v>77</v>
      </c>
      <c r="M362" t="s">
        <v>558</v>
      </c>
      <c r="N362">
        <f t="shared" si="25"/>
        <v>12</v>
      </c>
      <c r="O362">
        <f t="shared" si="26"/>
        <v>3</v>
      </c>
      <c r="P362" t="str">
        <f t="shared" si="27"/>
        <v>Provided Guidance</v>
      </c>
      <c r="Q362" t="str">
        <f t="shared" si="28"/>
        <v>March</v>
      </c>
      <c r="R362" t="str">
        <f t="shared" si="29"/>
        <v>Week 12</v>
      </c>
    </row>
    <row r="363" spans="1:18" x14ac:dyDescent="0.2">
      <c r="A363" s="11">
        <v>243522</v>
      </c>
      <c r="B363" s="2">
        <v>45372</v>
      </c>
      <c r="C363" t="s">
        <v>65</v>
      </c>
      <c r="D363" t="s">
        <v>66</v>
      </c>
      <c r="E363" t="s">
        <v>11</v>
      </c>
      <c r="F363" t="s">
        <v>12</v>
      </c>
      <c r="G363" t="s">
        <v>14</v>
      </c>
      <c r="H363" t="s">
        <v>67</v>
      </c>
      <c r="I363" t="s">
        <v>559</v>
      </c>
      <c r="J363" t="s">
        <v>40</v>
      </c>
      <c r="K363" t="s">
        <v>76</v>
      </c>
      <c r="L363" t="s">
        <v>77</v>
      </c>
      <c r="M363" t="s">
        <v>560</v>
      </c>
      <c r="N363">
        <f t="shared" si="25"/>
        <v>12</v>
      </c>
      <c r="O363">
        <f t="shared" si="26"/>
        <v>3</v>
      </c>
      <c r="P363" t="str">
        <f t="shared" si="27"/>
        <v>Provided Guidance</v>
      </c>
      <c r="Q363" t="str">
        <f t="shared" si="28"/>
        <v>March</v>
      </c>
      <c r="R363" t="str">
        <f t="shared" si="29"/>
        <v>Week 12</v>
      </c>
    </row>
    <row r="364" spans="1:18" x14ac:dyDescent="0.2">
      <c r="A364" s="11">
        <v>243523</v>
      </c>
      <c r="B364" s="2">
        <v>45372</v>
      </c>
      <c r="C364" t="s">
        <v>65</v>
      </c>
      <c r="D364" t="s">
        <v>66</v>
      </c>
      <c r="E364" t="s">
        <v>11</v>
      </c>
      <c r="F364" t="s">
        <v>12</v>
      </c>
      <c r="G364" t="s">
        <v>14</v>
      </c>
      <c r="H364" t="s">
        <v>67</v>
      </c>
      <c r="I364" t="s">
        <v>561</v>
      </c>
      <c r="J364" t="s">
        <v>40</v>
      </c>
      <c r="K364" t="s">
        <v>76</v>
      </c>
      <c r="L364" t="s">
        <v>77</v>
      </c>
      <c r="M364" t="s">
        <v>562</v>
      </c>
      <c r="N364">
        <f t="shared" si="25"/>
        <v>12</v>
      </c>
      <c r="O364">
        <f t="shared" si="26"/>
        <v>3</v>
      </c>
      <c r="P364" t="str">
        <f t="shared" si="27"/>
        <v>Provided Guidance</v>
      </c>
      <c r="Q364" t="str">
        <f t="shared" si="28"/>
        <v>March</v>
      </c>
      <c r="R364" t="str">
        <f t="shared" si="29"/>
        <v>Week 12</v>
      </c>
    </row>
    <row r="365" spans="1:18" x14ac:dyDescent="0.2">
      <c r="A365" s="11">
        <v>243524</v>
      </c>
      <c r="B365" s="2">
        <v>45372</v>
      </c>
      <c r="C365" t="s">
        <v>65</v>
      </c>
      <c r="D365" t="s">
        <v>66</v>
      </c>
      <c r="E365" t="s">
        <v>11</v>
      </c>
      <c r="F365" t="s">
        <v>12</v>
      </c>
      <c r="G365" t="s">
        <v>14</v>
      </c>
      <c r="H365" t="s">
        <v>67</v>
      </c>
      <c r="I365" t="s">
        <v>563</v>
      </c>
      <c r="J365" t="s">
        <v>40</v>
      </c>
      <c r="K365" t="s">
        <v>76</v>
      </c>
      <c r="L365" t="s">
        <v>77</v>
      </c>
      <c r="M365" t="s">
        <v>564</v>
      </c>
      <c r="N365">
        <f t="shared" si="25"/>
        <v>12</v>
      </c>
      <c r="O365">
        <f t="shared" si="26"/>
        <v>3</v>
      </c>
      <c r="P365" t="str">
        <f t="shared" si="27"/>
        <v>Provided Guidance</v>
      </c>
      <c r="Q365" t="str">
        <f t="shared" si="28"/>
        <v>March</v>
      </c>
      <c r="R365" t="str">
        <f t="shared" si="29"/>
        <v>Week 12</v>
      </c>
    </row>
    <row r="366" spans="1:18" x14ac:dyDescent="0.2">
      <c r="A366" s="11">
        <v>243525</v>
      </c>
      <c r="B366" s="2">
        <v>45372</v>
      </c>
      <c r="C366" t="s">
        <v>65</v>
      </c>
      <c r="D366" t="s">
        <v>66</v>
      </c>
      <c r="E366" t="s">
        <v>11</v>
      </c>
      <c r="F366" t="s">
        <v>12</v>
      </c>
      <c r="G366" t="s">
        <v>14</v>
      </c>
      <c r="H366" t="s">
        <v>67</v>
      </c>
      <c r="I366" t="s">
        <v>565</v>
      </c>
      <c r="J366" t="s">
        <v>40</v>
      </c>
      <c r="K366" t="s">
        <v>76</v>
      </c>
      <c r="L366" t="s">
        <v>77</v>
      </c>
      <c r="M366" t="s">
        <v>566</v>
      </c>
      <c r="N366">
        <f t="shared" si="25"/>
        <v>12</v>
      </c>
      <c r="O366">
        <f t="shared" si="26"/>
        <v>3</v>
      </c>
      <c r="P366" t="str">
        <f t="shared" si="27"/>
        <v>Provided Guidance</v>
      </c>
      <c r="Q366" t="str">
        <f t="shared" si="28"/>
        <v>March</v>
      </c>
      <c r="R366" t="str">
        <f t="shared" si="29"/>
        <v>Week 12</v>
      </c>
    </row>
    <row r="367" spans="1:18" x14ac:dyDescent="0.2">
      <c r="A367" s="11">
        <v>243526</v>
      </c>
      <c r="B367" s="2">
        <v>45372</v>
      </c>
      <c r="C367" t="s">
        <v>65</v>
      </c>
      <c r="D367" t="s">
        <v>66</v>
      </c>
      <c r="E367" t="s">
        <v>11</v>
      </c>
      <c r="F367" t="s">
        <v>12</v>
      </c>
      <c r="G367" t="s">
        <v>14</v>
      </c>
      <c r="H367" t="s">
        <v>67</v>
      </c>
      <c r="I367" t="s">
        <v>567</v>
      </c>
      <c r="J367" t="s">
        <v>40</v>
      </c>
      <c r="K367" t="s">
        <v>76</v>
      </c>
      <c r="L367" t="s">
        <v>77</v>
      </c>
      <c r="M367" t="s">
        <v>568</v>
      </c>
      <c r="N367">
        <f t="shared" si="25"/>
        <v>12</v>
      </c>
      <c r="O367">
        <f t="shared" si="26"/>
        <v>3</v>
      </c>
      <c r="P367" t="str">
        <f t="shared" si="27"/>
        <v>Provided Guidance</v>
      </c>
      <c r="Q367" t="str">
        <f t="shared" si="28"/>
        <v>March</v>
      </c>
      <c r="R367" t="str">
        <f t="shared" si="29"/>
        <v>Week 12</v>
      </c>
    </row>
    <row r="368" spans="1:18" x14ac:dyDescent="0.2">
      <c r="A368" s="11">
        <v>243527</v>
      </c>
      <c r="B368" s="2">
        <v>45372</v>
      </c>
      <c r="C368" t="s">
        <v>65</v>
      </c>
      <c r="D368" t="s">
        <v>66</v>
      </c>
      <c r="E368" t="s">
        <v>11</v>
      </c>
      <c r="F368" t="s">
        <v>12</v>
      </c>
      <c r="G368" t="s">
        <v>14</v>
      </c>
      <c r="H368" t="s">
        <v>67</v>
      </c>
      <c r="I368" t="s">
        <v>569</v>
      </c>
      <c r="J368" t="s">
        <v>40</v>
      </c>
      <c r="K368" t="s">
        <v>76</v>
      </c>
      <c r="L368" t="s">
        <v>77</v>
      </c>
      <c r="M368" t="s">
        <v>570</v>
      </c>
      <c r="N368">
        <f t="shared" si="25"/>
        <v>12</v>
      </c>
      <c r="O368">
        <f t="shared" si="26"/>
        <v>3</v>
      </c>
      <c r="P368" t="str">
        <f t="shared" si="27"/>
        <v>Provided Guidance</v>
      </c>
      <c r="Q368" t="str">
        <f t="shared" si="28"/>
        <v>March</v>
      </c>
      <c r="R368" t="str">
        <f t="shared" si="29"/>
        <v>Week 12</v>
      </c>
    </row>
    <row r="369" spans="1:18" x14ac:dyDescent="0.2">
      <c r="A369" s="11">
        <v>243528</v>
      </c>
      <c r="B369" s="2">
        <v>45372</v>
      </c>
      <c r="C369" t="s">
        <v>65</v>
      </c>
      <c r="D369" t="s">
        <v>66</v>
      </c>
      <c r="E369" t="s">
        <v>11</v>
      </c>
      <c r="F369" t="s">
        <v>12</v>
      </c>
      <c r="G369" t="s">
        <v>14</v>
      </c>
      <c r="H369" t="s">
        <v>67</v>
      </c>
      <c r="I369" t="s">
        <v>571</v>
      </c>
      <c r="J369" t="s">
        <v>40</v>
      </c>
      <c r="K369" t="s">
        <v>76</v>
      </c>
      <c r="L369" t="s">
        <v>77</v>
      </c>
      <c r="M369" t="s">
        <v>189</v>
      </c>
      <c r="N369">
        <f t="shared" si="25"/>
        <v>12</v>
      </c>
      <c r="O369">
        <f t="shared" si="26"/>
        <v>3</v>
      </c>
      <c r="P369" t="str">
        <f t="shared" si="27"/>
        <v>Provided Guidance</v>
      </c>
      <c r="Q369" t="str">
        <f t="shared" si="28"/>
        <v>March</v>
      </c>
      <c r="R369" t="str">
        <f t="shared" si="29"/>
        <v>Week 12</v>
      </c>
    </row>
    <row r="370" spans="1:18" x14ac:dyDescent="0.2">
      <c r="A370" s="11">
        <v>243529</v>
      </c>
      <c r="B370" s="2">
        <v>45372</v>
      </c>
      <c r="C370" t="s">
        <v>65</v>
      </c>
      <c r="D370" t="s">
        <v>66</v>
      </c>
      <c r="E370" t="s">
        <v>11</v>
      </c>
      <c r="F370" t="s">
        <v>12</v>
      </c>
      <c r="G370" t="s">
        <v>14</v>
      </c>
      <c r="H370" t="s">
        <v>67</v>
      </c>
      <c r="I370" t="s">
        <v>572</v>
      </c>
      <c r="J370" t="s">
        <v>40</v>
      </c>
      <c r="K370" t="s">
        <v>76</v>
      </c>
      <c r="L370" t="s">
        <v>77</v>
      </c>
      <c r="M370" t="s">
        <v>573</v>
      </c>
      <c r="N370">
        <f t="shared" si="25"/>
        <v>12</v>
      </c>
      <c r="O370">
        <f t="shared" si="26"/>
        <v>3</v>
      </c>
      <c r="P370" t="str">
        <f t="shared" si="27"/>
        <v>Provided Guidance</v>
      </c>
      <c r="Q370" t="str">
        <f t="shared" si="28"/>
        <v>March</v>
      </c>
      <c r="R370" t="str">
        <f t="shared" si="29"/>
        <v>Week 12</v>
      </c>
    </row>
    <row r="371" spans="1:18" x14ac:dyDescent="0.2">
      <c r="A371" s="11">
        <v>243530</v>
      </c>
      <c r="B371" s="2">
        <v>45372</v>
      </c>
      <c r="C371" t="s">
        <v>65</v>
      </c>
      <c r="D371" t="s">
        <v>66</v>
      </c>
      <c r="E371" t="s">
        <v>20</v>
      </c>
      <c r="F371" t="s">
        <v>21</v>
      </c>
      <c r="G371" t="s">
        <v>22</v>
      </c>
      <c r="H371" t="s">
        <v>67</v>
      </c>
      <c r="I371" t="s">
        <v>574</v>
      </c>
      <c r="J371" t="s">
        <v>43</v>
      </c>
      <c r="K371" t="s">
        <v>141</v>
      </c>
      <c r="L371" t="s">
        <v>70</v>
      </c>
      <c r="N371">
        <f t="shared" si="25"/>
        <v>12</v>
      </c>
      <c r="O371">
        <f t="shared" si="26"/>
        <v>3</v>
      </c>
      <c r="P371" t="str">
        <f t="shared" si="27"/>
        <v>Observed Better</v>
      </c>
      <c r="Q371" t="str">
        <f t="shared" si="28"/>
        <v>March</v>
      </c>
      <c r="R371" t="str">
        <f t="shared" si="29"/>
        <v>Week 12</v>
      </c>
    </row>
    <row r="372" spans="1:18" x14ac:dyDescent="0.2">
      <c r="A372" s="11">
        <v>243533</v>
      </c>
      <c r="B372" s="2">
        <v>45372</v>
      </c>
      <c r="C372" t="s">
        <v>65</v>
      </c>
      <c r="D372" t="s">
        <v>66</v>
      </c>
      <c r="E372" t="s">
        <v>8</v>
      </c>
      <c r="F372" t="s">
        <v>9</v>
      </c>
      <c r="G372" t="s">
        <v>10</v>
      </c>
      <c r="H372" t="s">
        <v>67</v>
      </c>
      <c r="I372" t="s">
        <v>575</v>
      </c>
      <c r="J372" t="s">
        <v>251</v>
      </c>
      <c r="K372" t="s">
        <v>252</v>
      </c>
      <c r="L372" t="s">
        <v>77</v>
      </c>
      <c r="N372">
        <f t="shared" si="25"/>
        <v>12</v>
      </c>
      <c r="O372">
        <f t="shared" si="26"/>
        <v>3</v>
      </c>
      <c r="P372" t="str">
        <f t="shared" si="27"/>
        <v>Provided Guidance</v>
      </c>
      <c r="Q372" t="str">
        <f t="shared" si="28"/>
        <v>March</v>
      </c>
      <c r="R372" t="str">
        <f t="shared" si="29"/>
        <v>Week 12</v>
      </c>
    </row>
    <row r="373" spans="1:18" x14ac:dyDescent="0.2">
      <c r="A373" s="11">
        <v>243534</v>
      </c>
      <c r="B373" s="2">
        <v>45372</v>
      </c>
      <c r="C373" t="s">
        <v>65</v>
      </c>
      <c r="D373" t="s">
        <v>66</v>
      </c>
      <c r="E373" t="s">
        <v>20</v>
      </c>
      <c r="F373" t="s">
        <v>21</v>
      </c>
      <c r="G373" t="s">
        <v>22</v>
      </c>
      <c r="H373" t="s">
        <v>67</v>
      </c>
      <c r="I373" t="s">
        <v>576</v>
      </c>
      <c r="J373" t="s">
        <v>43</v>
      </c>
      <c r="K373" t="s">
        <v>141</v>
      </c>
      <c r="L373" t="s">
        <v>70</v>
      </c>
      <c r="N373">
        <f t="shared" si="25"/>
        <v>12</v>
      </c>
      <c r="O373">
        <f t="shared" si="26"/>
        <v>3</v>
      </c>
      <c r="P373" t="str">
        <f t="shared" si="27"/>
        <v>Observed Better</v>
      </c>
      <c r="Q373" t="str">
        <f t="shared" si="28"/>
        <v>March</v>
      </c>
      <c r="R373" t="str">
        <f t="shared" si="29"/>
        <v>Week 12</v>
      </c>
    </row>
    <row r="374" spans="1:18" x14ac:dyDescent="0.2">
      <c r="A374" s="11">
        <v>243535</v>
      </c>
      <c r="B374" s="2">
        <v>45372</v>
      </c>
      <c r="C374" t="s">
        <v>65</v>
      </c>
      <c r="D374" t="s">
        <v>66</v>
      </c>
      <c r="E374" t="s">
        <v>16</v>
      </c>
      <c r="F374" t="s">
        <v>17</v>
      </c>
      <c r="H374" t="s">
        <v>67</v>
      </c>
      <c r="I374" t="s">
        <v>577</v>
      </c>
      <c r="J374" t="s">
        <v>455</v>
      </c>
      <c r="K374" t="s">
        <v>456</v>
      </c>
      <c r="L374" t="s">
        <v>70</v>
      </c>
      <c r="N374">
        <f t="shared" si="25"/>
        <v>12</v>
      </c>
      <c r="O374">
        <f t="shared" si="26"/>
        <v>3</v>
      </c>
      <c r="P374" t="str">
        <f t="shared" si="27"/>
        <v>Observed Better</v>
      </c>
      <c r="Q374" t="str">
        <f t="shared" si="28"/>
        <v>March</v>
      </c>
      <c r="R374" t="str">
        <f t="shared" si="29"/>
        <v>Week 12</v>
      </c>
    </row>
    <row r="375" spans="1:18" x14ac:dyDescent="0.2">
      <c r="A375" s="11">
        <v>243536</v>
      </c>
      <c r="B375" s="2">
        <v>45373</v>
      </c>
      <c r="C375" t="s">
        <v>65</v>
      </c>
      <c r="D375" t="s">
        <v>66</v>
      </c>
      <c r="E375" t="s">
        <v>20</v>
      </c>
      <c r="F375" t="s">
        <v>10</v>
      </c>
      <c r="G375" t="s">
        <v>23</v>
      </c>
      <c r="H375" t="s">
        <v>67</v>
      </c>
      <c r="I375" t="s">
        <v>578</v>
      </c>
      <c r="J375" t="s">
        <v>37</v>
      </c>
      <c r="K375" t="s">
        <v>69</v>
      </c>
      <c r="L375" t="s">
        <v>70</v>
      </c>
      <c r="N375">
        <f t="shared" si="25"/>
        <v>12</v>
      </c>
      <c r="O375">
        <f t="shared" si="26"/>
        <v>3</v>
      </c>
      <c r="P375" t="str">
        <f t="shared" si="27"/>
        <v>Observed Better</v>
      </c>
      <c r="Q375" t="str">
        <f t="shared" si="28"/>
        <v>March</v>
      </c>
      <c r="R375" t="str">
        <f t="shared" si="29"/>
        <v>Week 12</v>
      </c>
    </row>
    <row r="376" spans="1:18" x14ac:dyDescent="0.2">
      <c r="A376" s="11">
        <v>243537</v>
      </c>
      <c r="B376" s="2">
        <v>45373</v>
      </c>
      <c r="C376" t="s">
        <v>65</v>
      </c>
      <c r="D376" t="s">
        <v>66</v>
      </c>
      <c r="E376" t="s">
        <v>8</v>
      </c>
      <c r="F376" t="s">
        <v>9</v>
      </c>
      <c r="G376" t="s">
        <v>203</v>
      </c>
      <c r="H376" t="s">
        <v>67</v>
      </c>
      <c r="I376" t="s">
        <v>579</v>
      </c>
      <c r="J376" t="s">
        <v>580</v>
      </c>
      <c r="K376" t="s">
        <v>581</v>
      </c>
      <c r="L376" t="s">
        <v>77</v>
      </c>
      <c r="N376">
        <f t="shared" si="25"/>
        <v>12</v>
      </c>
      <c r="O376">
        <f t="shared" si="26"/>
        <v>3</v>
      </c>
      <c r="P376" t="str">
        <f t="shared" si="27"/>
        <v>Provided Guidance</v>
      </c>
      <c r="Q376" t="str">
        <f t="shared" si="28"/>
        <v>March</v>
      </c>
      <c r="R376" t="str">
        <f t="shared" si="29"/>
        <v>Week 12</v>
      </c>
    </row>
    <row r="377" spans="1:18" x14ac:dyDescent="0.2">
      <c r="A377" s="11">
        <v>243538</v>
      </c>
      <c r="B377" s="2">
        <v>45373</v>
      </c>
      <c r="C377" t="s">
        <v>65</v>
      </c>
      <c r="D377" t="s">
        <v>66</v>
      </c>
      <c r="E377" t="s">
        <v>16</v>
      </c>
      <c r="F377" t="s">
        <v>17</v>
      </c>
      <c r="H377" t="s">
        <v>67</v>
      </c>
      <c r="I377" t="s">
        <v>582</v>
      </c>
      <c r="J377" t="s">
        <v>39</v>
      </c>
      <c r="K377" t="s">
        <v>244</v>
      </c>
      <c r="L377" t="s">
        <v>70</v>
      </c>
      <c r="N377">
        <f t="shared" si="25"/>
        <v>12</v>
      </c>
      <c r="O377">
        <f t="shared" si="26"/>
        <v>3</v>
      </c>
      <c r="P377" t="str">
        <f t="shared" si="27"/>
        <v>Observed Better</v>
      </c>
      <c r="Q377" t="str">
        <f t="shared" si="28"/>
        <v>March</v>
      </c>
      <c r="R377" t="str">
        <f t="shared" si="29"/>
        <v>Week 12</v>
      </c>
    </row>
    <row r="378" spans="1:18" x14ac:dyDescent="0.2">
      <c r="A378" s="11">
        <v>243539</v>
      </c>
      <c r="B378" s="2">
        <v>45373</v>
      </c>
      <c r="C378" t="s">
        <v>65</v>
      </c>
      <c r="D378" t="s">
        <v>66</v>
      </c>
      <c r="E378" t="s">
        <v>11</v>
      </c>
      <c r="F378" t="s">
        <v>131</v>
      </c>
      <c r="G378" t="s">
        <v>11</v>
      </c>
      <c r="H378" t="s">
        <v>67</v>
      </c>
      <c r="I378" t="s">
        <v>583</v>
      </c>
      <c r="J378" t="s">
        <v>39</v>
      </c>
      <c r="K378" t="s">
        <v>244</v>
      </c>
      <c r="L378" t="s">
        <v>77</v>
      </c>
      <c r="N378">
        <f t="shared" si="25"/>
        <v>12</v>
      </c>
      <c r="O378">
        <f t="shared" si="26"/>
        <v>3</v>
      </c>
      <c r="P378" t="str">
        <f t="shared" si="27"/>
        <v>Provided Guidance</v>
      </c>
      <c r="Q378" t="str">
        <f t="shared" si="28"/>
        <v>March</v>
      </c>
      <c r="R378" t="str">
        <f t="shared" si="29"/>
        <v>Week 12</v>
      </c>
    </row>
    <row r="379" spans="1:18" x14ac:dyDescent="0.2">
      <c r="A379" s="11">
        <v>243540</v>
      </c>
      <c r="B379" s="2">
        <v>45373</v>
      </c>
      <c r="C379" t="s">
        <v>65</v>
      </c>
      <c r="D379" t="s">
        <v>66</v>
      </c>
      <c r="E379" t="s">
        <v>11</v>
      </c>
      <c r="F379" t="s">
        <v>134</v>
      </c>
      <c r="G379" t="s">
        <v>135</v>
      </c>
      <c r="H379" t="s">
        <v>67</v>
      </c>
      <c r="I379" t="s">
        <v>584</v>
      </c>
      <c r="J379" t="s">
        <v>37</v>
      </c>
      <c r="K379" t="s">
        <v>69</v>
      </c>
      <c r="L379" t="s">
        <v>70</v>
      </c>
      <c r="N379">
        <f t="shared" si="25"/>
        <v>12</v>
      </c>
      <c r="O379">
        <f t="shared" si="26"/>
        <v>3</v>
      </c>
      <c r="P379" t="str">
        <f t="shared" si="27"/>
        <v>Observed Better</v>
      </c>
      <c r="Q379" t="str">
        <f t="shared" si="28"/>
        <v>March</v>
      </c>
      <c r="R379" t="str">
        <f t="shared" si="29"/>
        <v>Week 12</v>
      </c>
    </row>
    <row r="380" spans="1:18" x14ac:dyDescent="0.2">
      <c r="A380" s="11">
        <v>243541</v>
      </c>
      <c r="B380" s="2">
        <v>45373</v>
      </c>
      <c r="C380" t="s">
        <v>65</v>
      </c>
      <c r="D380" t="s">
        <v>66</v>
      </c>
      <c r="E380" t="s">
        <v>8</v>
      </c>
      <c r="F380" t="s">
        <v>9</v>
      </c>
      <c r="G380" t="s">
        <v>528</v>
      </c>
      <c r="H380" t="s">
        <v>67</v>
      </c>
      <c r="I380" t="s">
        <v>585</v>
      </c>
      <c r="J380" t="s">
        <v>37</v>
      </c>
      <c r="K380" t="s">
        <v>69</v>
      </c>
      <c r="L380" t="s">
        <v>70</v>
      </c>
      <c r="N380">
        <f t="shared" si="25"/>
        <v>12</v>
      </c>
      <c r="O380">
        <f t="shared" si="26"/>
        <v>3</v>
      </c>
      <c r="P380" t="str">
        <f t="shared" si="27"/>
        <v>Observed Better</v>
      </c>
      <c r="Q380" t="str">
        <f t="shared" si="28"/>
        <v>March</v>
      </c>
      <c r="R380" t="str">
        <f t="shared" si="29"/>
        <v>Week 12</v>
      </c>
    </row>
    <row r="381" spans="1:18" x14ac:dyDescent="0.2">
      <c r="A381" s="11">
        <v>243542</v>
      </c>
      <c r="B381" s="2">
        <v>45373</v>
      </c>
      <c r="C381" t="s">
        <v>65</v>
      </c>
      <c r="D381" t="s">
        <v>66</v>
      </c>
      <c r="E381" t="s">
        <v>8</v>
      </c>
      <c r="F381" t="s">
        <v>9</v>
      </c>
      <c r="G381" t="s">
        <v>11</v>
      </c>
      <c r="H381" t="s">
        <v>67</v>
      </c>
      <c r="I381" t="s">
        <v>586</v>
      </c>
      <c r="J381" t="s">
        <v>125</v>
      </c>
      <c r="K381" t="s">
        <v>126</v>
      </c>
      <c r="L381" t="s">
        <v>70</v>
      </c>
      <c r="N381">
        <f t="shared" si="25"/>
        <v>12</v>
      </c>
      <c r="O381">
        <f t="shared" si="26"/>
        <v>3</v>
      </c>
      <c r="P381" t="str">
        <f t="shared" si="27"/>
        <v>Observed Better</v>
      </c>
      <c r="Q381" t="str">
        <f t="shared" si="28"/>
        <v>March</v>
      </c>
      <c r="R381" t="str">
        <f t="shared" si="29"/>
        <v>Week 12</v>
      </c>
    </row>
    <row r="382" spans="1:18" x14ac:dyDescent="0.2">
      <c r="A382" s="11">
        <v>243545</v>
      </c>
      <c r="B382" s="2">
        <v>45373</v>
      </c>
      <c r="C382" t="s">
        <v>65</v>
      </c>
      <c r="D382" t="s">
        <v>66</v>
      </c>
      <c r="E382" t="s">
        <v>8</v>
      </c>
      <c r="F382" t="s">
        <v>9</v>
      </c>
      <c r="G382" t="s">
        <v>203</v>
      </c>
      <c r="H382" t="s">
        <v>67</v>
      </c>
      <c r="I382" t="s">
        <v>587</v>
      </c>
      <c r="J382" t="s">
        <v>34</v>
      </c>
      <c r="K382" t="s">
        <v>295</v>
      </c>
      <c r="L382" t="s">
        <v>77</v>
      </c>
      <c r="M382" t="s">
        <v>357</v>
      </c>
      <c r="N382">
        <f t="shared" si="25"/>
        <v>12</v>
      </c>
      <c r="O382">
        <f t="shared" si="26"/>
        <v>3</v>
      </c>
      <c r="P382" t="str">
        <f t="shared" si="27"/>
        <v>Provided Guidance</v>
      </c>
      <c r="Q382" t="str">
        <f t="shared" si="28"/>
        <v>March</v>
      </c>
      <c r="R382" t="str">
        <f t="shared" si="29"/>
        <v>Week 12</v>
      </c>
    </row>
    <row r="383" spans="1:18" x14ac:dyDescent="0.2">
      <c r="A383" s="11">
        <v>243546</v>
      </c>
      <c r="B383" s="2">
        <v>45373</v>
      </c>
      <c r="C383" t="s">
        <v>65</v>
      </c>
      <c r="D383" t="s">
        <v>66</v>
      </c>
      <c r="E383" t="s">
        <v>20</v>
      </c>
      <c r="F383" t="s">
        <v>21</v>
      </c>
      <c r="G383" t="s">
        <v>22</v>
      </c>
      <c r="H383" t="s">
        <v>67</v>
      </c>
      <c r="I383" t="s">
        <v>588</v>
      </c>
      <c r="J383" t="s">
        <v>43</v>
      </c>
      <c r="K383" t="s">
        <v>141</v>
      </c>
      <c r="L383" t="s">
        <v>70</v>
      </c>
      <c r="N383">
        <f t="shared" si="25"/>
        <v>12</v>
      </c>
      <c r="O383">
        <f t="shared" si="26"/>
        <v>3</v>
      </c>
      <c r="P383" t="str">
        <f t="shared" si="27"/>
        <v>Observed Better</v>
      </c>
      <c r="Q383" t="str">
        <f t="shared" si="28"/>
        <v>March</v>
      </c>
      <c r="R383" t="str">
        <f t="shared" si="29"/>
        <v>Week 12</v>
      </c>
    </row>
    <row r="384" spans="1:18" x14ac:dyDescent="0.2">
      <c r="A384" s="11">
        <v>243547</v>
      </c>
      <c r="B384" s="2">
        <v>45373</v>
      </c>
      <c r="C384" t="s">
        <v>65</v>
      </c>
      <c r="D384" t="s">
        <v>66</v>
      </c>
      <c r="E384" t="s">
        <v>20</v>
      </c>
      <c r="F384" t="s">
        <v>21</v>
      </c>
      <c r="G384" t="s">
        <v>22</v>
      </c>
      <c r="H384" t="s">
        <v>67</v>
      </c>
      <c r="I384" t="s">
        <v>588</v>
      </c>
      <c r="J384" t="s">
        <v>43</v>
      </c>
      <c r="K384" t="s">
        <v>141</v>
      </c>
      <c r="L384" t="s">
        <v>70</v>
      </c>
      <c r="N384">
        <f t="shared" si="25"/>
        <v>12</v>
      </c>
      <c r="O384">
        <f t="shared" si="26"/>
        <v>3</v>
      </c>
      <c r="P384" t="str">
        <f t="shared" si="27"/>
        <v>Observed Better</v>
      </c>
      <c r="Q384" t="str">
        <f t="shared" si="28"/>
        <v>March</v>
      </c>
      <c r="R384" t="str">
        <f t="shared" si="29"/>
        <v>Week 12</v>
      </c>
    </row>
    <row r="385" spans="1:18" x14ac:dyDescent="0.2">
      <c r="A385" s="11">
        <v>243548</v>
      </c>
      <c r="B385" s="2">
        <v>45373</v>
      </c>
      <c r="C385" t="s">
        <v>65</v>
      </c>
      <c r="D385" t="s">
        <v>66</v>
      </c>
      <c r="E385" t="s">
        <v>16</v>
      </c>
      <c r="F385" t="s">
        <v>227</v>
      </c>
      <c r="H385" t="s">
        <v>67</v>
      </c>
      <c r="I385" t="s">
        <v>589</v>
      </c>
      <c r="J385" t="s">
        <v>34</v>
      </c>
      <c r="K385" t="s">
        <v>295</v>
      </c>
      <c r="L385" t="s">
        <v>77</v>
      </c>
      <c r="M385" t="s">
        <v>357</v>
      </c>
      <c r="N385">
        <f t="shared" si="25"/>
        <v>12</v>
      </c>
      <c r="O385">
        <f t="shared" si="26"/>
        <v>3</v>
      </c>
      <c r="P385" t="str">
        <f t="shared" si="27"/>
        <v>Provided Guidance</v>
      </c>
      <c r="Q385" t="str">
        <f t="shared" si="28"/>
        <v>March</v>
      </c>
      <c r="R385" t="str">
        <f t="shared" si="29"/>
        <v>Week 12</v>
      </c>
    </row>
    <row r="386" spans="1:18" x14ac:dyDescent="0.2">
      <c r="A386" s="11">
        <v>243549</v>
      </c>
      <c r="B386" s="2">
        <v>45373</v>
      </c>
      <c r="C386" t="s">
        <v>65</v>
      </c>
      <c r="D386" t="s">
        <v>66</v>
      </c>
      <c r="E386" t="s">
        <v>8</v>
      </c>
      <c r="F386" t="s">
        <v>9</v>
      </c>
      <c r="G386" t="s">
        <v>10</v>
      </c>
      <c r="H386" t="s">
        <v>67</v>
      </c>
      <c r="I386" t="s">
        <v>590</v>
      </c>
      <c r="J386" t="s">
        <v>251</v>
      </c>
      <c r="K386" t="s">
        <v>252</v>
      </c>
      <c r="L386" t="s">
        <v>77</v>
      </c>
      <c r="N386">
        <f t="shared" ref="N386:N449" si="30">IF(ISBLANK(B386)," ",WEEKNUM(B386))</f>
        <v>12</v>
      </c>
      <c r="O386">
        <f t="shared" ref="O386:O449" si="31">IF(ISBLANK(B386)," ",MONTH(B386))</f>
        <v>3</v>
      </c>
      <c r="P386" t="str">
        <f t="shared" ref="P386:P449" si="32">IF(ISNUMBER(SEARCH("provided",L386)),"Provided Guidance","Observed Better")</f>
        <v>Provided Guidance</v>
      </c>
      <c r="Q386" t="str">
        <f t="shared" ref="Q386:Q449" si="33">IF(O386=" "," ",TEXT(O386*29,"mmmm"))</f>
        <v>March</v>
      </c>
      <c r="R386" t="str">
        <f t="shared" ref="R386:R449" si="34">IF(N386=" "," ",_xlfn.CONCAT("Week ",+TEXT(N386,"0")))</f>
        <v>Week 12</v>
      </c>
    </row>
    <row r="387" spans="1:18" x14ac:dyDescent="0.2">
      <c r="A387" s="11">
        <v>243561</v>
      </c>
      <c r="B387" s="2">
        <v>45374</v>
      </c>
      <c r="C387" t="s">
        <v>65</v>
      </c>
      <c r="D387" t="s">
        <v>66</v>
      </c>
      <c r="E387" t="s">
        <v>16</v>
      </c>
      <c r="F387" t="s">
        <v>227</v>
      </c>
      <c r="H387" t="s">
        <v>67</v>
      </c>
      <c r="I387" t="s">
        <v>591</v>
      </c>
      <c r="J387" t="s">
        <v>115</v>
      </c>
      <c r="K387" t="s">
        <v>116</v>
      </c>
      <c r="L387" t="s">
        <v>70</v>
      </c>
      <c r="N387">
        <f t="shared" si="30"/>
        <v>12</v>
      </c>
      <c r="O387">
        <f t="shared" si="31"/>
        <v>3</v>
      </c>
      <c r="P387" t="str">
        <f t="shared" si="32"/>
        <v>Observed Better</v>
      </c>
      <c r="Q387" t="str">
        <f t="shared" si="33"/>
        <v>March</v>
      </c>
      <c r="R387" t="str">
        <f t="shared" si="34"/>
        <v>Week 12</v>
      </c>
    </row>
    <row r="388" spans="1:18" x14ac:dyDescent="0.2">
      <c r="A388" s="11">
        <v>243562</v>
      </c>
      <c r="B388" s="2">
        <v>45374</v>
      </c>
      <c r="C388" t="s">
        <v>65</v>
      </c>
      <c r="D388" t="s">
        <v>66</v>
      </c>
      <c r="E388" t="s">
        <v>11</v>
      </c>
      <c r="F388" t="s">
        <v>134</v>
      </c>
      <c r="G388" t="s">
        <v>135</v>
      </c>
      <c r="H388" t="s">
        <v>67</v>
      </c>
      <c r="I388" t="s">
        <v>592</v>
      </c>
      <c r="J388" t="s">
        <v>115</v>
      </c>
      <c r="K388" t="s">
        <v>116</v>
      </c>
      <c r="L388" t="s">
        <v>70</v>
      </c>
      <c r="N388">
        <f t="shared" si="30"/>
        <v>12</v>
      </c>
      <c r="O388">
        <f t="shared" si="31"/>
        <v>3</v>
      </c>
      <c r="P388" t="str">
        <f t="shared" si="32"/>
        <v>Observed Better</v>
      </c>
      <c r="Q388" t="str">
        <f t="shared" si="33"/>
        <v>March</v>
      </c>
      <c r="R388" t="str">
        <f t="shared" si="34"/>
        <v>Week 12</v>
      </c>
    </row>
    <row r="389" spans="1:18" x14ac:dyDescent="0.2">
      <c r="A389" s="11">
        <v>243563</v>
      </c>
      <c r="B389" s="2">
        <v>45374</v>
      </c>
      <c r="C389" t="s">
        <v>65</v>
      </c>
      <c r="D389" t="s">
        <v>66</v>
      </c>
      <c r="E389" t="s">
        <v>11</v>
      </c>
      <c r="F389" t="s">
        <v>134</v>
      </c>
      <c r="G389" t="s">
        <v>135</v>
      </c>
      <c r="H389" t="s">
        <v>67</v>
      </c>
      <c r="I389" t="s">
        <v>593</v>
      </c>
      <c r="J389" t="s">
        <v>115</v>
      </c>
      <c r="K389" t="s">
        <v>116</v>
      </c>
      <c r="L389" t="s">
        <v>70</v>
      </c>
      <c r="N389">
        <f t="shared" si="30"/>
        <v>12</v>
      </c>
      <c r="O389">
        <f t="shared" si="31"/>
        <v>3</v>
      </c>
      <c r="P389" t="str">
        <f t="shared" si="32"/>
        <v>Observed Better</v>
      </c>
      <c r="Q389" t="str">
        <f t="shared" si="33"/>
        <v>March</v>
      </c>
      <c r="R389" t="str">
        <f t="shared" si="34"/>
        <v>Week 12</v>
      </c>
    </row>
    <row r="390" spans="1:18" x14ac:dyDescent="0.2">
      <c r="A390" s="11">
        <v>243564</v>
      </c>
      <c r="B390" s="2">
        <v>45374</v>
      </c>
      <c r="C390" t="s">
        <v>65</v>
      </c>
      <c r="D390" t="s">
        <v>66</v>
      </c>
      <c r="E390" t="s">
        <v>11</v>
      </c>
      <c r="F390" t="s">
        <v>134</v>
      </c>
      <c r="G390" t="s">
        <v>135</v>
      </c>
      <c r="H390" t="s">
        <v>67</v>
      </c>
      <c r="I390" t="s">
        <v>594</v>
      </c>
      <c r="J390" t="s">
        <v>115</v>
      </c>
      <c r="K390" t="s">
        <v>116</v>
      </c>
      <c r="L390" t="s">
        <v>77</v>
      </c>
      <c r="N390">
        <f t="shared" si="30"/>
        <v>12</v>
      </c>
      <c r="O390">
        <f t="shared" si="31"/>
        <v>3</v>
      </c>
      <c r="P390" t="str">
        <f t="shared" si="32"/>
        <v>Provided Guidance</v>
      </c>
      <c r="Q390" t="str">
        <f t="shared" si="33"/>
        <v>March</v>
      </c>
      <c r="R390" t="str">
        <f t="shared" si="34"/>
        <v>Week 12</v>
      </c>
    </row>
    <row r="391" spans="1:18" x14ac:dyDescent="0.2">
      <c r="A391" s="11">
        <v>243569</v>
      </c>
      <c r="B391" s="2">
        <v>45376</v>
      </c>
      <c r="C391" t="s">
        <v>65</v>
      </c>
      <c r="D391" t="s">
        <v>66</v>
      </c>
      <c r="E391" t="s">
        <v>20</v>
      </c>
      <c r="F391" t="s">
        <v>21</v>
      </c>
      <c r="G391" t="s">
        <v>22</v>
      </c>
      <c r="H391" t="s">
        <v>67</v>
      </c>
      <c r="I391" t="s">
        <v>595</v>
      </c>
      <c r="J391" t="s">
        <v>38</v>
      </c>
      <c r="K391" t="s">
        <v>97</v>
      </c>
      <c r="L391" t="s">
        <v>70</v>
      </c>
      <c r="M391" t="s">
        <v>596</v>
      </c>
      <c r="N391">
        <f t="shared" si="30"/>
        <v>13</v>
      </c>
      <c r="O391">
        <f t="shared" si="31"/>
        <v>3</v>
      </c>
      <c r="P391" t="str">
        <f t="shared" si="32"/>
        <v>Observed Better</v>
      </c>
      <c r="Q391" t="str">
        <f t="shared" si="33"/>
        <v>March</v>
      </c>
      <c r="R391" t="str">
        <f t="shared" si="34"/>
        <v>Week 13</v>
      </c>
    </row>
    <row r="392" spans="1:18" x14ac:dyDescent="0.2">
      <c r="A392" s="11">
        <v>243570</v>
      </c>
      <c r="B392" s="2">
        <v>45376</v>
      </c>
      <c r="C392" t="s">
        <v>65</v>
      </c>
      <c r="D392" t="s">
        <v>66</v>
      </c>
      <c r="E392" t="s">
        <v>20</v>
      </c>
      <c r="F392" t="s">
        <v>21</v>
      </c>
      <c r="G392" t="s">
        <v>22</v>
      </c>
      <c r="H392" t="s">
        <v>67</v>
      </c>
      <c r="I392" t="s">
        <v>597</v>
      </c>
      <c r="J392" t="s">
        <v>38</v>
      </c>
      <c r="K392" t="s">
        <v>97</v>
      </c>
      <c r="L392" t="s">
        <v>70</v>
      </c>
      <c r="M392" t="s">
        <v>598</v>
      </c>
      <c r="N392">
        <f t="shared" si="30"/>
        <v>13</v>
      </c>
      <c r="O392">
        <f t="shared" si="31"/>
        <v>3</v>
      </c>
      <c r="P392" t="str">
        <f t="shared" si="32"/>
        <v>Observed Better</v>
      </c>
      <c r="Q392" t="str">
        <f t="shared" si="33"/>
        <v>March</v>
      </c>
      <c r="R392" t="str">
        <f t="shared" si="34"/>
        <v>Week 13</v>
      </c>
    </row>
    <row r="393" spans="1:18" x14ac:dyDescent="0.2">
      <c r="A393" s="11">
        <v>243571</v>
      </c>
      <c r="B393" s="2">
        <v>45376</v>
      </c>
      <c r="C393" t="s">
        <v>65</v>
      </c>
      <c r="D393" t="s">
        <v>66</v>
      </c>
      <c r="E393" t="s">
        <v>20</v>
      </c>
      <c r="F393" t="s">
        <v>21</v>
      </c>
      <c r="G393" t="s">
        <v>22</v>
      </c>
      <c r="H393" t="s">
        <v>67</v>
      </c>
      <c r="I393" t="s">
        <v>599</v>
      </c>
      <c r="J393" t="s">
        <v>38</v>
      </c>
      <c r="K393" t="s">
        <v>97</v>
      </c>
      <c r="L393" t="s">
        <v>70</v>
      </c>
      <c r="M393" t="s">
        <v>600</v>
      </c>
      <c r="N393">
        <f t="shared" si="30"/>
        <v>13</v>
      </c>
      <c r="O393">
        <f t="shared" si="31"/>
        <v>3</v>
      </c>
      <c r="P393" t="str">
        <f t="shared" si="32"/>
        <v>Observed Better</v>
      </c>
      <c r="Q393" t="str">
        <f t="shared" si="33"/>
        <v>March</v>
      </c>
      <c r="R393" t="str">
        <f t="shared" si="34"/>
        <v>Week 13</v>
      </c>
    </row>
    <row r="394" spans="1:18" x14ac:dyDescent="0.2">
      <c r="A394" s="11">
        <v>243572</v>
      </c>
      <c r="B394" s="2">
        <v>45376</v>
      </c>
      <c r="C394" t="s">
        <v>65</v>
      </c>
      <c r="D394" t="s">
        <v>66</v>
      </c>
      <c r="E394" t="s">
        <v>20</v>
      </c>
      <c r="F394" t="s">
        <v>21</v>
      </c>
      <c r="G394" t="s">
        <v>22</v>
      </c>
      <c r="H394" t="s">
        <v>67</v>
      </c>
      <c r="I394" t="s">
        <v>601</v>
      </c>
      <c r="J394" t="s">
        <v>38</v>
      </c>
      <c r="K394" t="s">
        <v>97</v>
      </c>
      <c r="L394" t="s">
        <v>70</v>
      </c>
      <c r="M394" t="s">
        <v>602</v>
      </c>
      <c r="N394">
        <f t="shared" si="30"/>
        <v>13</v>
      </c>
      <c r="O394">
        <f t="shared" si="31"/>
        <v>3</v>
      </c>
      <c r="P394" t="str">
        <f t="shared" si="32"/>
        <v>Observed Better</v>
      </c>
      <c r="Q394" t="str">
        <f t="shared" si="33"/>
        <v>March</v>
      </c>
      <c r="R394" t="str">
        <f t="shared" si="34"/>
        <v>Week 13</v>
      </c>
    </row>
    <row r="395" spans="1:18" x14ac:dyDescent="0.2">
      <c r="A395" s="11">
        <v>243573</v>
      </c>
      <c r="B395" s="2">
        <v>45376</v>
      </c>
      <c r="C395" t="s">
        <v>65</v>
      </c>
      <c r="D395" t="s">
        <v>66</v>
      </c>
      <c r="E395" t="s">
        <v>16</v>
      </c>
      <c r="F395" t="s">
        <v>19</v>
      </c>
      <c r="H395" t="s">
        <v>67</v>
      </c>
      <c r="I395" t="s">
        <v>603</v>
      </c>
      <c r="J395" t="s">
        <v>38</v>
      </c>
      <c r="K395" t="s">
        <v>97</v>
      </c>
      <c r="L395" t="s">
        <v>70</v>
      </c>
      <c r="M395" t="s">
        <v>604</v>
      </c>
      <c r="N395">
        <f t="shared" si="30"/>
        <v>13</v>
      </c>
      <c r="O395">
        <f t="shared" si="31"/>
        <v>3</v>
      </c>
      <c r="P395" t="str">
        <f t="shared" si="32"/>
        <v>Observed Better</v>
      </c>
      <c r="Q395" t="str">
        <f t="shared" si="33"/>
        <v>March</v>
      </c>
      <c r="R395" t="str">
        <f t="shared" si="34"/>
        <v>Week 13</v>
      </c>
    </row>
    <row r="396" spans="1:18" x14ac:dyDescent="0.2">
      <c r="A396" s="11">
        <v>243574</v>
      </c>
      <c r="B396" s="2">
        <v>45376</v>
      </c>
      <c r="C396" t="s">
        <v>65</v>
      </c>
      <c r="D396" t="s">
        <v>66</v>
      </c>
      <c r="E396" t="s">
        <v>16</v>
      </c>
      <c r="F396" t="s">
        <v>71</v>
      </c>
      <c r="H396" t="s">
        <v>67</v>
      </c>
      <c r="I396" t="s">
        <v>605</v>
      </c>
      <c r="J396" t="s">
        <v>38</v>
      </c>
      <c r="K396" t="s">
        <v>97</v>
      </c>
      <c r="L396" t="s">
        <v>70</v>
      </c>
      <c r="M396" t="s">
        <v>606</v>
      </c>
      <c r="N396">
        <f t="shared" si="30"/>
        <v>13</v>
      </c>
      <c r="O396">
        <f t="shared" si="31"/>
        <v>3</v>
      </c>
      <c r="P396" t="str">
        <f t="shared" si="32"/>
        <v>Observed Better</v>
      </c>
      <c r="Q396" t="str">
        <f t="shared" si="33"/>
        <v>March</v>
      </c>
      <c r="R396" t="str">
        <f t="shared" si="34"/>
        <v>Week 13</v>
      </c>
    </row>
    <row r="397" spans="1:18" x14ac:dyDescent="0.2">
      <c r="A397" s="11">
        <v>243575</v>
      </c>
      <c r="B397" s="2">
        <v>45376</v>
      </c>
      <c r="C397" t="s">
        <v>65</v>
      </c>
      <c r="D397" t="s">
        <v>66</v>
      </c>
      <c r="E397" t="s">
        <v>8</v>
      </c>
      <c r="F397" t="s">
        <v>9</v>
      </c>
      <c r="G397" t="s">
        <v>10</v>
      </c>
      <c r="H397" t="s">
        <v>67</v>
      </c>
      <c r="I397" t="s">
        <v>607</v>
      </c>
      <c r="J397" t="s">
        <v>38</v>
      </c>
      <c r="K397" t="s">
        <v>97</v>
      </c>
      <c r="L397" t="s">
        <v>70</v>
      </c>
      <c r="M397" t="s">
        <v>608</v>
      </c>
      <c r="N397">
        <f t="shared" si="30"/>
        <v>13</v>
      </c>
      <c r="O397">
        <f t="shared" si="31"/>
        <v>3</v>
      </c>
      <c r="P397" t="str">
        <f t="shared" si="32"/>
        <v>Observed Better</v>
      </c>
      <c r="Q397" t="str">
        <f t="shared" si="33"/>
        <v>March</v>
      </c>
      <c r="R397" t="str">
        <f t="shared" si="34"/>
        <v>Week 13</v>
      </c>
    </row>
    <row r="398" spans="1:18" x14ac:dyDescent="0.2">
      <c r="A398" s="11">
        <v>243576</v>
      </c>
      <c r="B398" s="2">
        <v>45376</v>
      </c>
      <c r="C398" t="s">
        <v>65</v>
      </c>
      <c r="D398" t="s">
        <v>66</v>
      </c>
      <c r="E398" t="s">
        <v>20</v>
      </c>
      <c r="F398" t="s">
        <v>10</v>
      </c>
      <c r="G398" t="s">
        <v>23</v>
      </c>
      <c r="H398" t="s">
        <v>67</v>
      </c>
      <c r="I398" t="s">
        <v>609</v>
      </c>
      <c r="J398" t="s">
        <v>38</v>
      </c>
      <c r="K398" t="s">
        <v>97</v>
      </c>
      <c r="L398" t="s">
        <v>70</v>
      </c>
      <c r="M398" t="s">
        <v>610</v>
      </c>
      <c r="N398">
        <f t="shared" si="30"/>
        <v>13</v>
      </c>
      <c r="O398">
        <f t="shared" si="31"/>
        <v>3</v>
      </c>
      <c r="P398" t="str">
        <f t="shared" si="32"/>
        <v>Observed Better</v>
      </c>
      <c r="Q398" t="str">
        <f t="shared" si="33"/>
        <v>March</v>
      </c>
      <c r="R398" t="str">
        <f t="shared" si="34"/>
        <v>Week 13</v>
      </c>
    </row>
    <row r="399" spans="1:18" x14ac:dyDescent="0.2">
      <c r="A399" s="11">
        <v>243577</v>
      </c>
      <c r="B399" s="2">
        <v>45376</v>
      </c>
      <c r="C399" t="s">
        <v>65</v>
      </c>
      <c r="D399" t="s">
        <v>66</v>
      </c>
      <c r="E399" t="s">
        <v>20</v>
      </c>
      <c r="F399" t="s">
        <v>235</v>
      </c>
      <c r="H399" t="s">
        <v>67</v>
      </c>
      <c r="I399" t="s">
        <v>611</v>
      </c>
      <c r="J399" t="s">
        <v>38</v>
      </c>
      <c r="K399" t="s">
        <v>97</v>
      </c>
      <c r="L399" t="s">
        <v>70</v>
      </c>
      <c r="M399" t="s">
        <v>612</v>
      </c>
      <c r="N399">
        <f t="shared" si="30"/>
        <v>13</v>
      </c>
      <c r="O399">
        <f t="shared" si="31"/>
        <v>3</v>
      </c>
      <c r="P399" t="str">
        <f t="shared" si="32"/>
        <v>Observed Better</v>
      </c>
      <c r="Q399" t="str">
        <f t="shared" si="33"/>
        <v>March</v>
      </c>
      <c r="R399" t="str">
        <f t="shared" si="34"/>
        <v>Week 13</v>
      </c>
    </row>
    <row r="400" spans="1:18" x14ac:dyDescent="0.2">
      <c r="A400" s="11">
        <v>243578</v>
      </c>
      <c r="B400" s="2">
        <v>45376</v>
      </c>
      <c r="C400" t="s">
        <v>65</v>
      </c>
      <c r="D400" t="s">
        <v>66</v>
      </c>
      <c r="E400" t="s">
        <v>20</v>
      </c>
      <c r="F400" t="s">
        <v>21</v>
      </c>
      <c r="G400" t="s">
        <v>22</v>
      </c>
      <c r="H400" t="s">
        <v>67</v>
      </c>
      <c r="I400" t="s">
        <v>613</v>
      </c>
      <c r="J400" t="s">
        <v>38</v>
      </c>
      <c r="K400" t="s">
        <v>97</v>
      </c>
      <c r="L400" t="s">
        <v>70</v>
      </c>
      <c r="M400" t="s">
        <v>614</v>
      </c>
      <c r="N400">
        <f t="shared" si="30"/>
        <v>13</v>
      </c>
      <c r="O400">
        <f t="shared" si="31"/>
        <v>3</v>
      </c>
      <c r="P400" t="str">
        <f t="shared" si="32"/>
        <v>Observed Better</v>
      </c>
      <c r="Q400" t="str">
        <f t="shared" si="33"/>
        <v>March</v>
      </c>
      <c r="R400" t="str">
        <f t="shared" si="34"/>
        <v>Week 13</v>
      </c>
    </row>
    <row r="401" spans="1:18" x14ac:dyDescent="0.2">
      <c r="A401" s="11">
        <v>243579</v>
      </c>
      <c r="B401" s="2">
        <v>45376</v>
      </c>
      <c r="C401" t="s">
        <v>65</v>
      </c>
      <c r="D401" t="s">
        <v>66</v>
      </c>
      <c r="E401" t="s">
        <v>8</v>
      </c>
      <c r="F401" t="s">
        <v>9</v>
      </c>
      <c r="G401" t="s">
        <v>11</v>
      </c>
      <c r="H401" t="s">
        <v>67</v>
      </c>
      <c r="I401" t="s">
        <v>615</v>
      </c>
      <c r="J401" t="s">
        <v>38</v>
      </c>
      <c r="K401" t="s">
        <v>97</v>
      </c>
      <c r="L401" t="s">
        <v>70</v>
      </c>
      <c r="M401" t="s">
        <v>616</v>
      </c>
      <c r="N401">
        <f t="shared" si="30"/>
        <v>13</v>
      </c>
      <c r="O401">
        <f t="shared" si="31"/>
        <v>3</v>
      </c>
      <c r="P401" t="str">
        <f t="shared" si="32"/>
        <v>Observed Better</v>
      </c>
      <c r="Q401" t="str">
        <f t="shared" si="33"/>
        <v>March</v>
      </c>
      <c r="R401" t="str">
        <f t="shared" si="34"/>
        <v>Week 13</v>
      </c>
    </row>
    <row r="402" spans="1:18" x14ac:dyDescent="0.2">
      <c r="A402" s="11">
        <v>243580</v>
      </c>
      <c r="B402" s="2">
        <v>45376</v>
      </c>
      <c r="C402" t="s">
        <v>65</v>
      </c>
      <c r="D402" t="s">
        <v>66</v>
      </c>
      <c r="E402" t="s">
        <v>8</v>
      </c>
      <c r="F402" t="s">
        <v>427</v>
      </c>
      <c r="G402" t="s">
        <v>489</v>
      </c>
      <c r="H402" t="s">
        <v>67</v>
      </c>
      <c r="I402" t="s">
        <v>617</v>
      </c>
      <c r="J402" t="s">
        <v>38</v>
      </c>
      <c r="K402" t="s">
        <v>97</v>
      </c>
      <c r="L402" t="s">
        <v>70</v>
      </c>
      <c r="M402" t="s">
        <v>618</v>
      </c>
      <c r="N402">
        <f t="shared" si="30"/>
        <v>13</v>
      </c>
      <c r="O402">
        <f t="shared" si="31"/>
        <v>3</v>
      </c>
      <c r="P402" t="str">
        <f t="shared" si="32"/>
        <v>Observed Better</v>
      </c>
      <c r="Q402" t="str">
        <f t="shared" si="33"/>
        <v>March</v>
      </c>
      <c r="R402" t="str">
        <f t="shared" si="34"/>
        <v>Week 13</v>
      </c>
    </row>
    <row r="403" spans="1:18" x14ac:dyDescent="0.2">
      <c r="A403" s="11">
        <v>243581</v>
      </c>
      <c r="B403" s="2">
        <v>45377</v>
      </c>
      <c r="C403" t="s">
        <v>65</v>
      </c>
      <c r="D403" t="s">
        <v>66</v>
      </c>
      <c r="E403" t="s">
        <v>16</v>
      </c>
      <c r="F403" t="s">
        <v>227</v>
      </c>
      <c r="H403" t="s">
        <v>67</v>
      </c>
      <c r="I403" t="s">
        <v>619</v>
      </c>
      <c r="J403" t="s">
        <v>37</v>
      </c>
      <c r="K403" t="s">
        <v>69</v>
      </c>
      <c r="L403" t="s">
        <v>70</v>
      </c>
      <c r="N403">
        <f t="shared" si="30"/>
        <v>13</v>
      </c>
      <c r="O403">
        <f t="shared" si="31"/>
        <v>3</v>
      </c>
      <c r="P403" t="str">
        <f t="shared" si="32"/>
        <v>Observed Better</v>
      </c>
      <c r="Q403" t="str">
        <f t="shared" si="33"/>
        <v>March</v>
      </c>
      <c r="R403" t="str">
        <f t="shared" si="34"/>
        <v>Week 13</v>
      </c>
    </row>
    <row r="404" spans="1:18" x14ac:dyDescent="0.2">
      <c r="A404" s="11">
        <v>243582</v>
      </c>
      <c r="B404" s="2">
        <v>45377</v>
      </c>
      <c r="C404" t="s">
        <v>65</v>
      </c>
      <c r="D404" t="s">
        <v>66</v>
      </c>
      <c r="E404" t="s">
        <v>16</v>
      </c>
      <c r="F404" t="s">
        <v>227</v>
      </c>
      <c r="H404" t="s">
        <v>67</v>
      </c>
      <c r="I404" t="s">
        <v>619</v>
      </c>
      <c r="J404" t="s">
        <v>37</v>
      </c>
      <c r="K404" t="s">
        <v>69</v>
      </c>
      <c r="L404" t="s">
        <v>70</v>
      </c>
      <c r="N404">
        <f t="shared" si="30"/>
        <v>13</v>
      </c>
      <c r="O404">
        <f t="shared" si="31"/>
        <v>3</v>
      </c>
      <c r="P404" t="str">
        <f t="shared" si="32"/>
        <v>Observed Better</v>
      </c>
      <c r="Q404" t="str">
        <f t="shared" si="33"/>
        <v>March</v>
      </c>
      <c r="R404" t="str">
        <f t="shared" si="34"/>
        <v>Week 13</v>
      </c>
    </row>
    <row r="405" spans="1:18" x14ac:dyDescent="0.2">
      <c r="A405" s="11">
        <v>243596</v>
      </c>
      <c r="B405" s="2">
        <v>45378</v>
      </c>
      <c r="C405" t="s">
        <v>65</v>
      </c>
      <c r="D405" t="s">
        <v>66</v>
      </c>
      <c r="E405" t="s">
        <v>20</v>
      </c>
      <c r="F405" t="s">
        <v>10</v>
      </c>
      <c r="G405" t="s">
        <v>23</v>
      </c>
      <c r="H405" t="s">
        <v>67</v>
      </c>
      <c r="I405" t="s">
        <v>620</v>
      </c>
      <c r="J405" t="s">
        <v>35</v>
      </c>
      <c r="K405" t="s">
        <v>241</v>
      </c>
      <c r="L405" t="s">
        <v>70</v>
      </c>
      <c r="N405">
        <f t="shared" si="30"/>
        <v>13</v>
      </c>
      <c r="O405">
        <f t="shared" si="31"/>
        <v>3</v>
      </c>
      <c r="P405" t="str">
        <f t="shared" si="32"/>
        <v>Observed Better</v>
      </c>
      <c r="Q405" t="str">
        <f t="shared" si="33"/>
        <v>March</v>
      </c>
      <c r="R405" t="str">
        <f t="shared" si="34"/>
        <v>Week 13</v>
      </c>
    </row>
    <row r="406" spans="1:18" x14ac:dyDescent="0.2">
      <c r="A406" s="11">
        <v>243597</v>
      </c>
      <c r="B406" s="2">
        <v>45378</v>
      </c>
      <c r="C406" t="s">
        <v>65</v>
      </c>
      <c r="D406" t="s">
        <v>66</v>
      </c>
      <c r="E406" t="s">
        <v>16</v>
      </c>
      <c r="F406" t="s">
        <v>94</v>
      </c>
      <c r="H406" t="s">
        <v>67</v>
      </c>
      <c r="I406" t="s">
        <v>621</v>
      </c>
      <c r="J406" t="s">
        <v>35</v>
      </c>
      <c r="K406" t="s">
        <v>241</v>
      </c>
      <c r="L406" t="s">
        <v>70</v>
      </c>
      <c r="N406">
        <f t="shared" si="30"/>
        <v>13</v>
      </c>
      <c r="O406">
        <f t="shared" si="31"/>
        <v>3</v>
      </c>
      <c r="P406" t="str">
        <f t="shared" si="32"/>
        <v>Observed Better</v>
      </c>
      <c r="Q406" t="str">
        <f t="shared" si="33"/>
        <v>March</v>
      </c>
      <c r="R406" t="str">
        <f t="shared" si="34"/>
        <v>Week 13</v>
      </c>
    </row>
    <row r="407" spans="1:18" x14ac:dyDescent="0.2">
      <c r="A407" s="11">
        <v>243598</v>
      </c>
      <c r="B407" s="2">
        <v>45378</v>
      </c>
      <c r="C407" t="s">
        <v>65</v>
      </c>
      <c r="D407" t="s">
        <v>66</v>
      </c>
      <c r="E407" t="s">
        <v>20</v>
      </c>
      <c r="F407" t="s">
        <v>21</v>
      </c>
      <c r="G407" t="s">
        <v>22</v>
      </c>
      <c r="H407" t="s">
        <v>67</v>
      </c>
      <c r="I407" t="s">
        <v>622</v>
      </c>
      <c r="J407" t="s">
        <v>35</v>
      </c>
      <c r="K407" t="s">
        <v>241</v>
      </c>
      <c r="L407" t="s">
        <v>70</v>
      </c>
      <c r="N407">
        <f t="shared" si="30"/>
        <v>13</v>
      </c>
      <c r="O407">
        <f t="shared" si="31"/>
        <v>3</v>
      </c>
      <c r="P407" t="str">
        <f t="shared" si="32"/>
        <v>Observed Better</v>
      </c>
      <c r="Q407" t="str">
        <f t="shared" si="33"/>
        <v>March</v>
      </c>
      <c r="R407" t="str">
        <f t="shared" si="34"/>
        <v>Week 13</v>
      </c>
    </row>
    <row r="408" spans="1:18" x14ac:dyDescent="0.2">
      <c r="A408" s="11">
        <v>243599</v>
      </c>
      <c r="B408" s="2">
        <v>45378</v>
      </c>
      <c r="C408" t="s">
        <v>65</v>
      </c>
      <c r="D408" t="s">
        <v>66</v>
      </c>
      <c r="E408" t="s">
        <v>11</v>
      </c>
      <c r="F408" t="s">
        <v>134</v>
      </c>
      <c r="G408" t="s">
        <v>370</v>
      </c>
      <c r="H408" t="s">
        <v>67</v>
      </c>
      <c r="I408" t="s">
        <v>623</v>
      </c>
      <c r="J408" t="s">
        <v>125</v>
      </c>
      <c r="K408" t="s">
        <v>126</v>
      </c>
      <c r="L408" t="s">
        <v>70</v>
      </c>
      <c r="N408">
        <f t="shared" si="30"/>
        <v>13</v>
      </c>
      <c r="O408">
        <f t="shared" si="31"/>
        <v>3</v>
      </c>
      <c r="P408" t="str">
        <f t="shared" si="32"/>
        <v>Observed Better</v>
      </c>
      <c r="Q408" t="str">
        <f t="shared" si="33"/>
        <v>March</v>
      </c>
      <c r="R408" t="str">
        <f t="shared" si="34"/>
        <v>Week 13</v>
      </c>
    </row>
    <row r="409" spans="1:18" x14ac:dyDescent="0.2">
      <c r="A409" s="11">
        <v>243600</v>
      </c>
      <c r="B409" s="2">
        <v>45378</v>
      </c>
      <c r="C409" t="s">
        <v>65</v>
      </c>
      <c r="D409" t="s">
        <v>66</v>
      </c>
      <c r="E409" t="s">
        <v>20</v>
      </c>
      <c r="F409" t="s">
        <v>21</v>
      </c>
      <c r="G409" t="s">
        <v>73</v>
      </c>
      <c r="H409" t="s">
        <v>67</v>
      </c>
      <c r="I409" t="s">
        <v>624</v>
      </c>
      <c r="J409" t="s">
        <v>125</v>
      </c>
      <c r="K409" t="s">
        <v>126</v>
      </c>
      <c r="L409" t="s">
        <v>70</v>
      </c>
      <c r="N409">
        <f t="shared" si="30"/>
        <v>13</v>
      </c>
      <c r="O409">
        <f t="shared" si="31"/>
        <v>3</v>
      </c>
      <c r="P409" t="str">
        <f t="shared" si="32"/>
        <v>Observed Better</v>
      </c>
      <c r="Q409" t="str">
        <f t="shared" si="33"/>
        <v>March</v>
      </c>
      <c r="R409" t="str">
        <f t="shared" si="34"/>
        <v>Week 13</v>
      </c>
    </row>
    <row r="410" spans="1:18" x14ac:dyDescent="0.2">
      <c r="A410" s="11">
        <v>243603</v>
      </c>
      <c r="B410" s="2">
        <v>45378</v>
      </c>
      <c r="C410" t="s">
        <v>65</v>
      </c>
      <c r="D410" t="s">
        <v>66</v>
      </c>
      <c r="E410" t="s">
        <v>20</v>
      </c>
      <c r="F410" t="s">
        <v>10</v>
      </c>
      <c r="G410" t="s">
        <v>23</v>
      </c>
      <c r="H410" t="s">
        <v>67</v>
      </c>
      <c r="I410" t="s">
        <v>625</v>
      </c>
      <c r="J410" t="s">
        <v>110</v>
      </c>
      <c r="K410" t="s">
        <v>111</v>
      </c>
      <c r="L410" t="s">
        <v>70</v>
      </c>
      <c r="N410">
        <f t="shared" si="30"/>
        <v>13</v>
      </c>
      <c r="O410">
        <f t="shared" si="31"/>
        <v>3</v>
      </c>
      <c r="P410" t="str">
        <f t="shared" si="32"/>
        <v>Observed Better</v>
      </c>
      <c r="Q410" t="str">
        <f t="shared" si="33"/>
        <v>March</v>
      </c>
      <c r="R410" t="str">
        <f t="shared" si="34"/>
        <v>Week 13</v>
      </c>
    </row>
    <row r="411" spans="1:18" x14ac:dyDescent="0.2">
      <c r="A411" s="11">
        <v>243604</v>
      </c>
      <c r="B411" s="2">
        <v>45378</v>
      </c>
      <c r="C411" t="s">
        <v>65</v>
      </c>
      <c r="D411" t="s">
        <v>66</v>
      </c>
      <c r="E411" t="s">
        <v>20</v>
      </c>
      <c r="F411" t="s">
        <v>10</v>
      </c>
      <c r="G411" t="s">
        <v>23</v>
      </c>
      <c r="H411" t="s">
        <v>67</v>
      </c>
      <c r="I411" t="s">
        <v>626</v>
      </c>
      <c r="J411" t="s">
        <v>110</v>
      </c>
      <c r="K411" t="s">
        <v>111</v>
      </c>
      <c r="L411" t="s">
        <v>77</v>
      </c>
      <c r="N411">
        <f t="shared" si="30"/>
        <v>13</v>
      </c>
      <c r="O411">
        <f t="shared" si="31"/>
        <v>3</v>
      </c>
      <c r="P411" t="str">
        <f t="shared" si="32"/>
        <v>Provided Guidance</v>
      </c>
      <c r="Q411" t="str">
        <f t="shared" si="33"/>
        <v>March</v>
      </c>
      <c r="R411" t="str">
        <f t="shared" si="34"/>
        <v>Week 13</v>
      </c>
    </row>
    <row r="412" spans="1:18" x14ac:dyDescent="0.2">
      <c r="A412" s="11">
        <v>243605</v>
      </c>
      <c r="B412" s="2">
        <v>45378</v>
      </c>
      <c r="C412" t="s">
        <v>65</v>
      </c>
      <c r="D412" t="s">
        <v>66</v>
      </c>
      <c r="E412" t="s">
        <v>20</v>
      </c>
      <c r="F412" t="s">
        <v>10</v>
      </c>
      <c r="G412" t="s">
        <v>23</v>
      </c>
      <c r="H412" t="s">
        <v>67</v>
      </c>
      <c r="I412" t="s">
        <v>627</v>
      </c>
      <c r="J412" t="s">
        <v>110</v>
      </c>
      <c r="K412" t="s">
        <v>111</v>
      </c>
      <c r="L412" t="s">
        <v>70</v>
      </c>
      <c r="N412">
        <f t="shared" si="30"/>
        <v>13</v>
      </c>
      <c r="O412">
        <f t="shared" si="31"/>
        <v>3</v>
      </c>
      <c r="P412" t="str">
        <f t="shared" si="32"/>
        <v>Observed Better</v>
      </c>
      <c r="Q412" t="str">
        <f t="shared" si="33"/>
        <v>March</v>
      </c>
      <c r="R412" t="str">
        <f t="shared" si="34"/>
        <v>Week 13</v>
      </c>
    </row>
    <row r="413" spans="1:18" x14ac:dyDescent="0.2">
      <c r="A413" s="11">
        <v>243606</v>
      </c>
      <c r="B413" s="2">
        <v>45378</v>
      </c>
      <c r="C413" t="s">
        <v>65</v>
      </c>
      <c r="D413" t="s">
        <v>66</v>
      </c>
      <c r="E413" t="s">
        <v>16</v>
      </c>
      <c r="F413" t="s">
        <v>94</v>
      </c>
      <c r="H413" t="s">
        <v>67</v>
      </c>
      <c r="I413" t="s">
        <v>628</v>
      </c>
      <c r="J413" t="s">
        <v>38</v>
      </c>
      <c r="K413" t="s">
        <v>97</v>
      </c>
      <c r="L413" t="s">
        <v>70</v>
      </c>
      <c r="M413" t="s">
        <v>629</v>
      </c>
      <c r="N413">
        <f t="shared" si="30"/>
        <v>13</v>
      </c>
      <c r="O413">
        <f t="shared" si="31"/>
        <v>3</v>
      </c>
      <c r="P413" t="str">
        <f t="shared" si="32"/>
        <v>Observed Better</v>
      </c>
      <c r="Q413" t="str">
        <f t="shared" si="33"/>
        <v>March</v>
      </c>
      <c r="R413" t="str">
        <f t="shared" si="34"/>
        <v>Week 13</v>
      </c>
    </row>
    <row r="414" spans="1:18" x14ac:dyDescent="0.2">
      <c r="A414" s="11">
        <v>243607</v>
      </c>
      <c r="B414" s="2">
        <v>45378</v>
      </c>
      <c r="C414" t="s">
        <v>65</v>
      </c>
      <c r="D414" t="s">
        <v>66</v>
      </c>
      <c r="E414" t="s">
        <v>16</v>
      </c>
      <c r="F414" t="s">
        <v>17</v>
      </c>
      <c r="H414" t="s">
        <v>67</v>
      </c>
      <c r="I414" t="s">
        <v>630</v>
      </c>
      <c r="J414" t="s">
        <v>38</v>
      </c>
      <c r="K414" t="s">
        <v>97</v>
      </c>
      <c r="L414" t="s">
        <v>70</v>
      </c>
      <c r="M414" t="s">
        <v>631</v>
      </c>
      <c r="N414">
        <f t="shared" si="30"/>
        <v>13</v>
      </c>
      <c r="O414">
        <f t="shared" si="31"/>
        <v>3</v>
      </c>
      <c r="P414" t="str">
        <f t="shared" si="32"/>
        <v>Observed Better</v>
      </c>
      <c r="Q414" t="str">
        <f t="shared" si="33"/>
        <v>March</v>
      </c>
      <c r="R414" t="str">
        <f t="shared" si="34"/>
        <v>Week 13</v>
      </c>
    </row>
    <row r="415" spans="1:18" x14ac:dyDescent="0.2">
      <c r="A415" s="11">
        <v>243608</v>
      </c>
      <c r="B415" s="2">
        <v>45379</v>
      </c>
      <c r="C415" t="s">
        <v>65</v>
      </c>
      <c r="D415" t="s">
        <v>66</v>
      </c>
      <c r="E415" t="s">
        <v>20</v>
      </c>
      <c r="F415" t="s">
        <v>21</v>
      </c>
      <c r="G415" t="s">
        <v>22</v>
      </c>
      <c r="H415" t="s">
        <v>67</v>
      </c>
      <c r="I415" t="s">
        <v>632</v>
      </c>
      <c r="J415" t="s">
        <v>41</v>
      </c>
      <c r="K415" t="s">
        <v>92</v>
      </c>
      <c r="L415" t="s">
        <v>70</v>
      </c>
      <c r="N415">
        <f t="shared" si="30"/>
        <v>13</v>
      </c>
      <c r="O415">
        <f t="shared" si="31"/>
        <v>3</v>
      </c>
      <c r="P415" t="str">
        <f t="shared" si="32"/>
        <v>Observed Better</v>
      </c>
      <c r="Q415" t="str">
        <f t="shared" si="33"/>
        <v>March</v>
      </c>
      <c r="R415" t="str">
        <f t="shared" si="34"/>
        <v>Week 13</v>
      </c>
    </row>
    <row r="416" spans="1:18" x14ac:dyDescent="0.2">
      <c r="A416" s="11">
        <v>243609</v>
      </c>
      <c r="B416" s="2">
        <v>45379</v>
      </c>
      <c r="C416" t="s">
        <v>65</v>
      </c>
      <c r="D416" t="s">
        <v>66</v>
      </c>
      <c r="E416" t="s">
        <v>8</v>
      </c>
      <c r="F416" t="s">
        <v>9</v>
      </c>
      <c r="G416" t="s">
        <v>528</v>
      </c>
      <c r="H416" t="s">
        <v>67</v>
      </c>
      <c r="I416" t="s">
        <v>633</v>
      </c>
      <c r="J416" t="s">
        <v>39</v>
      </c>
      <c r="K416" t="s">
        <v>244</v>
      </c>
      <c r="L416" t="s">
        <v>77</v>
      </c>
      <c r="N416">
        <f t="shared" si="30"/>
        <v>13</v>
      </c>
      <c r="O416">
        <f t="shared" si="31"/>
        <v>3</v>
      </c>
      <c r="P416" t="str">
        <f t="shared" si="32"/>
        <v>Provided Guidance</v>
      </c>
      <c r="Q416" t="str">
        <f t="shared" si="33"/>
        <v>March</v>
      </c>
      <c r="R416" t="str">
        <f t="shared" si="34"/>
        <v>Week 13</v>
      </c>
    </row>
    <row r="417" spans="1:18" x14ac:dyDescent="0.2">
      <c r="A417" s="11">
        <v>243610</v>
      </c>
      <c r="B417" s="2">
        <v>45379</v>
      </c>
      <c r="C417" t="s">
        <v>65</v>
      </c>
      <c r="D417" t="s">
        <v>66</v>
      </c>
      <c r="E417" t="s">
        <v>8</v>
      </c>
      <c r="F417" t="s">
        <v>9</v>
      </c>
      <c r="G417" t="s">
        <v>203</v>
      </c>
      <c r="H417" t="s">
        <v>67</v>
      </c>
      <c r="I417" t="s">
        <v>634</v>
      </c>
      <c r="J417" t="s">
        <v>125</v>
      </c>
      <c r="K417" t="s">
        <v>126</v>
      </c>
      <c r="L417" t="s">
        <v>70</v>
      </c>
      <c r="N417">
        <f t="shared" si="30"/>
        <v>13</v>
      </c>
      <c r="O417">
        <f t="shared" si="31"/>
        <v>3</v>
      </c>
      <c r="P417" t="str">
        <f t="shared" si="32"/>
        <v>Observed Better</v>
      </c>
      <c r="Q417" t="str">
        <f t="shared" si="33"/>
        <v>March</v>
      </c>
      <c r="R417" t="str">
        <f t="shared" si="34"/>
        <v>Week 13</v>
      </c>
    </row>
    <row r="418" spans="1:18" x14ac:dyDescent="0.2">
      <c r="A418" s="11">
        <v>243613</v>
      </c>
      <c r="B418" s="2">
        <v>45379</v>
      </c>
      <c r="C418" t="s">
        <v>65</v>
      </c>
      <c r="D418" t="s">
        <v>66</v>
      </c>
      <c r="E418" t="s">
        <v>11</v>
      </c>
      <c r="F418" t="s">
        <v>12</v>
      </c>
      <c r="G418" t="s">
        <v>14</v>
      </c>
      <c r="H418" t="s">
        <v>67</v>
      </c>
      <c r="I418" t="s">
        <v>635</v>
      </c>
      <c r="J418" t="s">
        <v>34</v>
      </c>
      <c r="K418" t="s">
        <v>295</v>
      </c>
      <c r="L418" t="s">
        <v>77</v>
      </c>
      <c r="M418" t="s">
        <v>357</v>
      </c>
      <c r="N418">
        <f t="shared" si="30"/>
        <v>13</v>
      </c>
      <c r="O418">
        <f t="shared" si="31"/>
        <v>3</v>
      </c>
      <c r="P418" t="str">
        <f t="shared" si="32"/>
        <v>Provided Guidance</v>
      </c>
      <c r="Q418" t="str">
        <f t="shared" si="33"/>
        <v>March</v>
      </c>
      <c r="R418" t="str">
        <f t="shared" si="34"/>
        <v>Week 13</v>
      </c>
    </row>
    <row r="419" spans="1:18" x14ac:dyDescent="0.2">
      <c r="A419" s="11">
        <v>243614</v>
      </c>
      <c r="B419" s="2">
        <v>45379</v>
      </c>
      <c r="C419" t="s">
        <v>65</v>
      </c>
      <c r="D419" t="s">
        <v>66</v>
      </c>
      <c r="E419" t="s">
        <v>20</v>
      </c>
      <c r="F419" t="s">
        <v>10</v>
      </c>
      <c r="G419" t="s">
        <v>23</v>
      </c>
      <c r="H419" t="s">
        <v>67</v>
      </c>
      <c r="I419" t="s">
        <v>636</v>
      </c>
      <c r="J419" t="s">
        <v>34</v>
      </c>
      <c r="K419" t="s">
        <v>295</v>
      </c>
      <c r="L419" t="s">
        <v>77</v>
      </c>
      <c r="M419" t="s">
        <v>357</v>
      </c>
      <c r="N419">
        <f t="shared" si="30"/>
        <v>13</v>
      </c>
      <c r="O419">
        <f t="shared" si="31"/>
        <v>3</v>
      </c>
      <c r="P419" t="str">
        <f t="shared" si="32"/>
        <v>Provided Guidance</v>
      </c>
      <c r="Q419" t="str">
        <f t="shared" si="33"/>
        <v>March</v>
      </c>
      <c r="R419" t="str">
        <f t="shared" si="34"/>
        <v>Week 13</v>
      </c>
    </row>
    <row r="420" spans="1:18" x14ac:dyDescent="0.2">
      <c r="A420" s="11">
        <v>243615</v>
      </c>
      <c r="B420" s="2">
        <v>45379</v>
      </c>
      <c r="C420" t="s">
        <v>65</v>
      </c>
      <c r="D420" t="s">
        <v>66</v>
      </c>
      <c r="E420" t="s">
        <v>11</v>
      </c>
      <c r="F420" t="s">
        <v>12</v>
      </c>
      <c r="G420" t="s">
        <v>14</v>
      </c>
      <c r="H420" t="s">
        <v>67</v>
      </c>
      <c r="I420" t="s">
        <v>637</v>
      </c>
      <c r="J420" t="s">
        <v>455</v>
      </c>
      <c r="K420" t="s">
        <v>456</v>
      </c>
      <c r="L420" t="s">
        <v>70</v>
      </c>
      <c r="M420" t="s">
        <v>638</v>
      </c>
      <c r="N420">
        <f t="shared" si="30"/>
        <v>13</v>
      </c>
      <c r="O420">
        <f t="shared" si="31"/>
        <v>3</v>
      </c>
      <c r="P420" t="str">
        <f t="shared" si="32"/>
        <v>Observed Better</v>
      </c>
      <c r="Q420" t="str">
        <f t="shared" si="33"/>
        <v>March</v>
      </c>
      <c r="R420" t="str">
        <f t="shared" si="34"/>
        <v>Week 13</v>
      </c>
    </row>
    <row r="421" spans="1:18" x14ac:dyDescent="0.2">
      <c r="A421" s="11">
        <v>243616</v>
      </c>
      <c r="B421" s="2">
        <v>45379</v>
      </c>
      <c r="C421" t="s">
        <v>65</v>
      </c>
      <c r="D421" t="s">
        <v>66</v>
      </c>
      <c r="E421" t="s">
        <v>11</v>
      </c>
      <c r="F421" t="s">
        <v>12</v>
      </c>
      <c r="G421" t="s">
        <v>14</v>
      </c>
      <c r="H421" t="s">
        <v>67</v>
      </c>
      <c r="I421" t="s">
        <v>637</v>
      </c>
      <c r="J421" t="s">
        <v>455</v>
      </c>
      <c r="K421" t="s">
        <v>456</v>
      </c>
      <c r="L421" t="s">
        <v>70</v>
      </c>
      <c r="M421" t="s">
        <v>638</v>
      </c>
      <c r="N421">
        <f t="shared" si="30"/>
        <v>13</v>
      </c>
      <c r="O421">
        <f t="shared" si="31"/>
        <v>3</v>
      </c>
      <c r="P421" t="str">
        <f t="shared" si="32"/>
        <v>Observed Better</v>
      </c>
      <c r="Q421" t="str">
        <f t="shared" si="33"/>
        <v>March</v>
      </c>
      <c r="R421" t="str">
        <f t="shared" si="34"/>
        <v>Week 13</v>
      </c>
    </row>
    <row r="422" spans="1:18" x14ac:dyDescent="0.2">
      <c r="A422" s="11">
        <v>243617</v>
      </c>
      <c r="B422" s="2">
        <v>45379</v>
      </c>
      <c r="C422" t="s">
        <v>65</v>
      </c>
      <c r="D422" t="s">
        <v>66</v>
      </c>
      <c r="E422" t="s">
        <v>11</v>
      </c>
      <c r="F422" t="s">
        <v>12</v>
      </c>
      <c r="G422" t="s">
        <v>14</v>
      </c>
      <c r="H422" t="s">
        <v>67</v>
      </c>
      <c r="I422" t="s">
        <v>637</v>
      </c>
      <c r="J422" t="s">
        <v>455</v>
      </c>
      <c r="K422" t="s">
        <v>456</v>
      </c>
      <c r="L422" t="s">
        <v>70</v>
      </c>
      <c r="M422" t="s">
        <v>638</v>
      </c>
      <c r="N422">
        <f t="shared" si="30"/>
        <v>13</v>
      </c>
      <c r="O422">
        <f t="shared" si="31"/>
        <v>3</v>
      </c>
      <c r="P422" t="str">
        <f t="shared" si="32"/>
        <v>Observed Better</v>
      </c>
      <c r="Q422" t="str">
        <f t="shared" si="33"/>
        <v>March</v>
      </c>
      <c r="R422" t="str">
        <f t="shared" si="34"/>
        <v>Week 13</v>
      </c>
    </row>
    <row r="423" spans="1:18" x14ac:dyDescent="0.2">
      <c r="A423" s="11">
        <v>243618</v>
      </c>
      <c r="B423" s="2">
        <v>45379</v>
      </c>
      <c r="C423" t="s">
        <v>65</v>
      </c>
      <c r="D423" t="s">
        <v>66</v>
      </c>
      <c r="E423" t="s">
        <v>8</v>
      </c>
      <c r="F423" t="s">
        <v>9</v>
      </c>
      <c r="G423" t="s">
        <v>203</v>
      </c>
      <c r="H423" t="s">
        <v>67</v>
      </c>
      <c r="I423" t="s">
        <v>639</v>
      </c>
      <c r="J423" t="s">
        <v>455</v>
      </c>
      <c r="K423" t="s">
        <v>456</v>
      </c>
      <c r="L423" t="s">
        <v>70</v>
      </c>
      <c r="N423">
        <f t="shared" si="30"/>
        <v>13</v>
      </c>
      <c r="O423">
        <f t="shared" si="31"/>
        <v>3</v>
      </c>
      <c r="P423" t="str">
        <f t="shared" si="32"/>
        <v>Observed Better</v>
      </c>
      <c r="Q423" t="str">
        <f t="shared" si="33"/>
        <v>March</v>
      </c>
      <c r="R423" t="str">
        <f t="shared" si="34"/>
        <v>Week 13</v>
      </c>
    </row>
    <row r="424" spans="1:18" x14ac:dyDescent="0.2">
      <c r="A424" s="11">
        <v>243619</v>
      </c>
      <c r="B424" s="2">
        <v>45379</v>
      </c>
      <c r="C424" t="s">
        <v>65</v>
      </c>
      <c r="D424" t="s">
        <v>66</v>
      </c>
      <c r="E424" t="s">
        <v>8</v>
      </c>
      <c r="F424" t="s">
        <v>9</v>
      </c>
      <c r="G424" t="s">
        <v>203</v>
      </c>
      <c r="H424" t="s">
        <v>67</v>
      </c>
      <c r="I424" t="s">
        <v>639</v>
      </c>
      <c r="J424" t="s">
        <v>455</v>
      </c>
      <c r="K424" t="s">
        <v>456</v>
      </c>
      <c r="L424" t="s">
        <v>70</v>
      </c>
      <c r="N424">
        <f t="shared" si="30"/>
        <v>13</v>
      </c>
      <c r="O424">
        <f t="shared" si="31"/>
        <v>3</v>
      </c>
      <c r="P424" t="str">
        <f t="shared" si="32"/>
        <v>Observed Better</v>
      </c>
      <c r="Q424" t="str">
        <f t="shared" si="33"/>
        <v>March</v>
      </c>
      <c r="R424" t="str">
        <f t="shared" si="34"/>
        <v>Week 13</v>
      </c>
    </row>
    <row r="425" spans="1:18" x14ac:dyDescent="0.2">
      <c r="A425" s="11">
        <v>243620</v>
      </c>
      <c r="B425" s="2">
        <v>45379</v>
      </c>
      <c r="C425" t="s">
        <v>65</v>
      </c>
      <c r="D425" t="s">
        <v>66</v>
      </c>
      <c r="E425" t="s">
        <v>8</v>
      </c>
      <c r="F425" t="s">
        <v>9</v>
      </c>
      <c r="G425" t="s">
        <v>203</v>
      </c>
      <c r="H425" t="s">
        <v>67</v>
      </c>
      <c r="I425" t="s">
        <v>639</v>
      </c>
      <c r="J425" t="s">
        <v>455</v>
      </c>
      <c r="K425" t="s">
        <v>456</v>
      </c>
      <c r="L425" t="s">
        <v>70</v>
      </c>
      <c r="N425">
        <f t="shared" si="30"/>
        <v>13</v>
      </c>
      <c r="O425">
        <f t="shared" si="31"/>
        <v>3</v>
      </c>
      <c r="P425" t="str">
        <f t="shared" si="32"/>
        <v>Observed Better</v>
      </c>
      <c r="Q425" t="str">
        <f t="shared" si="33"/>
        <v>March</v>
      </c>
      <c r="R425" t="str">
        <f t="shared" si="34"/>
        <v>Week 13</v>
      </c>
    </row>
    <row r="426" spans="1:18" x14ac:dyDescent="0.2">
      <c r="A426" s="11">
        <v>243621</v>
      </c>
      <c r="B426" s="2">
        <v>45380</v>
      </c>
      <c r="C426" t="s">
        <v>65</v>
      </c>
      <c r="D426" t="s">
        <v>66</v>
      </c>
      <c r="E426" t="s">
        <v>11</v>
      </c>
      <c r="F426" t="s">
        <v>134</v>
      </c>
      <c r="G426" t="s">
        <v>370</v>
      </c>
      <c r="H426" t="s">
        <v>67</v>
      </c>
      <c r="I426" t="s">
        <v>640</v>
      </c>
      <c r="J426" t="s">
        <v>37</v>
      </c>
      <c r="K426" t="s">
        <v>69</v>
      </c>
      <c r="L426" t="s">
        <v>70</v>
      </c>
      <c r="N426">
        <f t="shared" si="30"/>
        <v>13</v>
      </c>
      <c r="O426">
        <f t="shared" si="31"/>
        <v>3</v>
      </c>
      <c r="P426" t="str">
        <f t="shared" si="32"/>
        <v>Observed Better</v>
      </c>
      <c r="Q426" t="str">
        <f t="shared" si="33"/>
        <v>March</v>
      </c>
      <c r="R426" t="str">
        <f t="shared" si="34"/>
        <v>Week 13</v>
      </c>
    </row>
    <row r="427" spans="1:18" x14ac:dyDescent="0.2">
      <c r="A427" s="11">
        <v>243622</v>
      </c>
      <c r="B427" s="2">
        <v>45380</v>
      </c>
      <c r="C427" t="s">
        <v>65</v>
      </c>
      <c r="D427" t="s">
        <v>66</v>
      </c>
      <c r="E427" t="s">
        <v>11</v>
      </c>
      <c r="F427" t="s">
        <v>134</v>
      </c>
      <c r="G427" t="s">
        <v>370</v>
      </c>
      <c r="H427" t="s">
        <v>67</v>
      </c>
      <c r="I427" t="s">
        <v>640</v>
      </c>
      <c r="J427" t="s">
        <v>37</v>
      </c>
      <c r="K427" t="s">
        <v>69</v>
      </c>
      <c r="L427" t="s">
        <v>70</v>
      </c>
      <c r="N427">
        <f t="shared" si="30"/>
        <v>13</v>
      </c>
      <c r="O427">
        <f t="shared" si="31"/>
        <v>3</v>
      </c>
      <c r="P427" t="str">
        <f t="shared" si="32"/>
        <v>Observed Better</v>
      </c>
      <c r="Q427" t="str">
        <f t="shared" si="33"/>
        <v>March</v>
      </c>
      <c r="R427" t="str">
        <f t="shared" si="34"/>
        <v>Week 13</v>
      </c>
    </row>
    <row r="428" spans="1:18" x14ac:dyDescent="0.2">
      <c r="A428" s="11">
        <v>243623</v>
      </c>
      <c r="B428" s="2">
        <v>45380</v>
      </c>
      <c r="C428" t="s">
        <v>65</v>
      </c>
      <c r="D428" t="s">
        <v>66</v>
      </c>
      <c r="E428" t="s">
        <v>8</v>
      </c>
      <c r="F428" t="s">
        <v>9</v>
      </c>
      <c r="G428" t="s">
        <v>528</v>
      </c>
      <c r="H428" t="s">
        <v>67</v>
      </c>
      <c r="I428" t="s">
        <v>641</v>
      </c>
      <c r="J428" t="s">
        <v>125</v>
      </c>
      <c r="K428" t="s">
        <v>126</v>
      </c>
      <c r="L428" t="s">
        <v>70</v>
      </c>
      <c r="N428">
        <f t="shared" si="30"/>
        <v>13</v>
      </c>
      <c r="O428">
        <f t="shared" si="31"/>
        <v>3</v>
      </c>
      <c r="P428" t="str">
        <f t="shared" si="32"/>
        <v>Observed Better</v>
      </c>
      <c r="Q428" t="str">
        <f t="shared" si="33"/>
        <v>March</v>
      </c>
      <c r="R428" t="str">
        <f t="shared" si="34"/>
        <v>Week 13</v>
      </c>
    </row>
    <row r="429" spans="1:18" x14ac:dyDescent="0.2">
      <c r="A429" s="11">
        <v>243624</v>
      </c>
      <c r="B429" s="2">
        <v>45380</v>
      </c>
      <c r="C429" t="s">
        <v>65</v>
      </c>
      <c r="D429" t="s">
        <v>66</v>
      </c>
      <c r="E429" t="s">
        <v>20</v>
      </c>
      <c r="F429" t="s">
        <v>21</v>
      </c>
      <c r="G429" t="s">
        <v>22</v>
      </c>
      <c r="H429" t="s">
        <v>67</v>
      </c>
      <c r="I429" t="s">
        <v>642</v>
      </c>
      <c r="J429" t="s">
        <v>125</v>
      </c>
      <c r="K429" t="s">
        <v>126</v>
      </c>
      <c r="L429" t="s">
        <v>70</v>
      </c>
      <c r="N429">
        <f t="shared" si="30"/>
        <v>13</v>
      </c>
      <c r="O429">
        <f t="shared" si="31"/>
        <v>3</v>
      </c>
      <c r="P429" t="str">
        <f t="shared" si="32"/>
        <v>Observed Better</v>
      </c>
      <c r="Q429" t="str">
        <f t="shared" si="33"/>
        <v>March</v>
      </c>
      <c r="R429" t="str">
        <f t="shared" si="34"/>
        <v>Week 13</v>
      </c>
    </row>
    <row r="430" spans="1:18" x14ac:dyDescent="0.2">
      <c r="A430" s="11">
        <v>243625</v>
      </c>
      <c r="B430" s="2">
        <v>45380</v>
      </c>
      <c r="C430" t="s">
        <v>65</v>
      </c>
      <c r="D430" t="s">
        <v>66</v>
      </c>
      <c r="E430" t="s">
        <v>20</v>
      </c>
      <c r="F430" t="s">
        <v>21</v>
      </c>
      <c r="G430" t="s">
        <v>22</v>
      </c>
      <c r="H430" t="s">
        <v>67</v>
      </c>
      <c r="I430" t="s">
        <v>643</v>
      </c>
      <c r="J430" t="s">
        <v>37</v>
      </c>
      <c r="K430" t="s">
        <v>69</v>
      </c>
      <c r="L430" t="s">
        <v>70</v>
      </c>
      <c r="N430">
        <f t="shared" si="30"/>
        <v>13</v>
      </c>
      <c r="O430">
        <f t="shared" si="31"/>
        <v>3</v>
      </c>
      <c r="P430" t="str">
        <f t="shared" si="32"/>
        <v>Observed Better</v>
      </c>
      <c r="Q430" t="str">
        <f t="shared" si="33"/>
        <v>March</v>
      </c>
      <c r="R430" t="str">
        <f t="shared" si="34"/>
        <v>Week 13</v>
      </c>
    </row>
    <row r="431" spans="1:18" x14ac:dyDescent="0.2">
      <c r="A431" s="11">
        <v>243627</v>
      </c>
      <c r="B431" s="2">
        <v>45380</v>
      </c>
      <c r="C431" t="s">
        <v>65</v>
      </c>
      <c r="D431" t="s">
        <v>66</v>
      </c>
      <c r="E431" t="s">
        <v>8</v>
      </c>
      <c r="F431" t="s">
        <v>9</v>
      </c>
      <c r="G431" t="s">
        <v>203</v>
      </c>
      <c r="H431" t="s">
        <v>67</v>
      </c>
      <c r="I431" t="s">
        <v>644</v>
      </c>
      <c r="J431" t="s">
        <v>251</v>
      </c>
      <c r="K431" t="s">
        <v>252</v>
      </c>
      <c r="L431" t="s">
        <v>77</v>
      </c>
      <c r="N431">
        <f t="shared" si="30"/>
        <v>13</v>
      </c>
      <c r="O431">
        <f t="shared" si="31"/>
        <v>3</v>
      </c>
      <c r="P431" t="str">
        <f t="shared" si="32"/>
        <v>Provided Guidance</v>
      </c>
      <c r="Q431" t="str">
        <f t="shared" si="33"/>
        <v>March</v>
      </c>
      <c r="R431" t="str">
        <f t="shared" si="34"/>
        <v>Week 13</v>
      </c>
    </row>
    <row r="432" spans="1:18" x14ac:dyDescent="0.2">
      <c r="A432" s="11">
        <v>243628</v>
      </c>
      <c r="B432" s="2">
        <v>45380</v>
      </c>
      <c r="C432" t="s">
        <v>65</v>
      </c>
      <c r="D432" t="s">
        <v>66</v>
      </c>
      <c r="E432" t="s">
        <v>20</v>
      </c>
      <c r="F432" t="s">
        <v>21</v>
      </c>
      <c r="G432" t="s">
        <v>73</v>
      </c>
      <c r="H432" t="s">
        <v>67</v>
      </c>
      <c r="I432" t="s">
        <v>645</v>
      </c>
      <c r="J432" t="s">
        <v>251</v>
      </c>
      <c r="K432" t="s">
        <v>252</v>
      </c>
      <c r="L432" t="s">
        <v>77</v>
      </c>
      <c r="N432">
        <f t="shared" si="30"/>
        <v>13</v>
      </c>
      <c r="O432">
        <f t="shared" si="31"/>
        <v>3</v>
      </c>
      <c r="P432" t="str">
        <f t="shared" si="32"/>
        <v>Provided Guidance</v>
      </c>
      <c r="Q432" t="str">
        <f t="shared" si="33"/>
        <v>March</v>
      </c>
      <c r="R432" t="str">
        <f t="shared" si="34"/>
        <v>Week 13</v>
      </c>
    </row>
    <row r="433" spans="1:18" x14ac:dyDescent="0.2">
      <c r="A433" s="11">
        <v>243629</v>
      </c>
      <c r="B433" s="2">
        <v>45380</v>
      </c>
      <c r="C433" t="s">
        <v>65</v>
      </c>
      <c r="D433" t="s">
        <v>66</v>
      </c>
      <c r="E433" t="s">
        <v>24</v>
      </c>
      <c r="F433" t="s">
        <v>10</v>
      </c>
      <c r="G433" t="s">
        <v>26</v>
      </c>
      <c r="H433" t="s">
        <v>67</v>
      </c>
      <c r="I433" t="s">
        <v>646</v>
      </c>
      <c r="J433" t="s">
        <v>43</v>
      </c>
      <c r="K433" t="s">
        <v>141</v>
      </c>
      <c r="L433" t="s">
        <v>70</v>
      </c>
      <c r="N433">
        <f t="shared" si="30"/>
        <v>13</v>
      </c>
      <c r="O433">
        <f t="shared" si="31"/>
        <v>3</v>
      </c>
      <c r="P433" t="str">
        <f t="shared" si="32"/>
        <v>Observed Better</v>
      </c>
      <c r="Q433" t="str">
        <f t="shared" si="33"/>
        <v>March</v>
      </c>
      <c r="R433" t="str">
        <f t="shared" si="34"/>
        <v>Week 13</v>
      </c>
    </row>
    <row r="434" spans="1:18" x14ac:dyDescent="0.2">
      <c r="A434" s="11">
        <v>243630</v>
      </c>
      <c r="B434" s="2">
        <v>45380</v>
      </c>
      <c r="C434" t="s">
        <v>65</v>
      </c>
      <c r="D434" t="s">
        <v>66</v>
      </c>
      <c r="E434" t="s">
        <v>24</v>
      </c>
      <c r="F434" t="s">
        <v>10</v>
      </c>
      <c r="G434" t="s">
        <v>26</v>
      </c>
      <c r="H434" t="s">
        <v>67</v>
      </c>
      <c r="I434" t="s">
        <v>646</v>
      </c>
      <c r="J434" t="s">
        <v>43</v>
      </c>
      <c r="K434" t="s">
        <v>141</v>
      </c>
      <c r="L434" t="s">
        <v>70</v>
      </c>
      <c r="N434">
        <f t="shared" si="30"/>
        <v>13</v>
      </c>
      <c r="O434">
        <f t="shared" si="31"/>
        <v>3</v>
      </c>
      <c r="P434" t="str">
        <f t="shared" si="32"/>
        <v>Observed Better</v>
      </c>
      <c r="Q434" t="str">
        <f t="shared" si="33"/>
        <v>March</v>
      </c>
      <c r="R434" t="str">
        <f t="shared" si="34"/>
        <v>Week 13</v>
      </c>
    </row>
    <row r="435" spans="1:18" x14ac:dyDescent="0.2">
      <c r="A435" s="11">
        <v>243631</v>
      </c>
      <c r="B435" s="2">
        <v>45380</v>
      </c>
      <c r="C435" t="s">
        <v>65</v>
      </c>
      <c r="D435" t="s">
        <v>66</v>
      </c>
      <c r="E435" t="s">
        <v>20</v>
      </c>
      <c r="F435" t="s">
        <v>21</v>
      </c>
      <c r="G435" t="s">
        <v>22</v>
      </c>
      <c r="H435" t="s">
        <v>67</v>
      </c>
      <c r="I435" t="s">
        <v>647</v>
      </c>
      <c r="J435" t="s">
        <v>43</v>
      </c>
      <c r="K435" t="s">
        <v>141</v>
      </c>
      <c r="L435" t="s">
        <v>70</v>
      </c>
      <c r="N435">
        <f t="shared" si="30"/>
        <v>13</v>
      </c>
      <c r="O435">
        <f t="shared" si="31"/>
        <v>3</v>
      </c>
      <c r="P435" t="str">
        <f t="shared" si="32"/>
        <v>Observed Better</v>
      </c>
      <c r="Q435" t="str">
        <f t="shared" si="33"/>
        <v>March</v>
      </c>
      <c r="R435" t="str">
        <f t="shared" si="34"/>
        <v>Week 13</v>
      </c>
    </row>
    <row r="436" spans="1:18" x14ac:dyDescent="0.2">
      <c r="A436" s="11">
        <v>243632</v>
      </c>
      <c r="B436" s="2">
        <v>45380</v>
      </c>
      <c r="C436" t="s">
        <v>65</v>
      </c>
      <c r="D436" t="s">
        <v>66</v>
      </c>
      <c r="E436" t="s">
        <v>20</v>
      </c>
      <c r="F436" t="s">
        <v>21</v>
      </c>
      <c r="G436" t="s">
        <v>22</v>
      </c>
      <c r="H436" t="s">
        <v>67</v>
      </c>
      <c r="I436" t="s">
        <v>647</v>
      </c>
      <c r="J436" t="s">
        <v>43</v>
      </c>
      <c r="K436" t="s">
        <v>141</v>
      </c>
      <c r="L436" t="s">
        <v>70</v>
      </c>
      <c r="N436">
        <f t="shared" si="30"/>
        <v>13</v>
      </c>
      <c r="O436">
        <f t="shared" si="31"/>
        <v>3</v>
      </c>
      <c r="P436" t="str">
        <f t="shared" si="32"/>
        <v>Observed Better</v>
      </c>
      <c r="Q436" t="str">
        <f t="shared" si="33"/>
        <v>March</v>
      </c>
      <c r="R436" t="str">
        <f t="shared" si="34"/>
        <v>Week 13</v>
      </c>
    </row>
    <row r="437" spans="1:18" x14ac:dyDescent="0.2">
      <c r="A437" s="11">
        <v>243633</v>
      </c>
      <c r="B437" s="2">
        <v>45380</v>
      </c>
      <c r="C437" t="s">
        <v>65</v>
      </c>
      <c r="D437" t="s">
        <v>66</v>
      </c>
      <c r="E437" t="s">
        <v>20</v>
      </c>
      <c r="F437" t="s">
        <v>21</v>
      </c>
      <c r="G437" t="s">
        <v>22</v>
      </c>
      <c r="H437" t="s">
        <v>67</v>
      </c>
      <c r="I437" t="s">
        <v>647</v>
      </c>
      <c r="J437" t="s">
        <v>43</v>
      </c>
      <c r="K437" t="s">
        <v>141</v>
      </c>
      <c r="L437" t="s">
        <v>70</v>
      </c>
      <c r="N437">
        <f t="shared" si="30"/>
        <v>13</v>
      </c>
      <c r="O437">
        <f t="shared" si="31"/>
        <v>3</v>
      </c>
      <c r="P437" t="str">
        <f t="shared" si="32"/>
        <v>Observed Better</v>
      </c>
      <c r="Q437" t="str">
        <f t="shared" si="33"/>
        <v>March</v>
      </c>
      <c r="R437" t="str">
        <f t="shared" si="34"/>
        <v>Week 13</v>
      </c>
    </row>
    <row r="438" spans="1:18" x14ac:dyDescent="0.2">
      <c r="A438" s="11">
        <v>243634</v>
      </c>
      <c r="B438" s="2">
        <v>45380</v>
      </c>
      <c r="C438" t="s">
        <v>65</v>
      </c>
      <c r="D438" t="s">
        <v>66</v>
      </c>
      <c r="E438" t="s">
        <v>11</v>
      </c>
      <c r="F438" t="s">
        <v>134</v>
      </c>
      <c r="G438" t="s">
        <v>135</v>
      </c>
      <c r="H438" t="s">
        <v>67</v>
      </c>
      <c r="I438" t="s">
        <v>648</v>
      </c>
      <c r="J438" t="s">
        <v>43</v>
      </c>
      <c r="K438" t="s">
        <v>141</v>
      </c>
      <c r="L438" t="s">
        <v>70</v>
      </c>
      <c r="N438">
        <f t="shared" si="30"/>
        <v>13</v>
      </c>
      <c r="O438">
        <f t="shared" si="31"/>
        <v>3</v>
      </c>
      <c r="P438" t="str">
        <f t="shared" si="32"/>
        <v>Observed Better</v>
      </c>
      <c r="Q438" t="str">
        <f t="shared" si="33"/>
        <v>March</v>
      </c>
      <c r="R438" t="str">
        <f t="shared" si="34"/>
        <v>Week 13</v>
      </c>
    </row>
    <row r="439" spans="1:18" x14ac:dyDescent="0.2">
      <c r="A439" s="11">
        <v>243635</v>
      </c>
      <c r="B439" s="2">
        <v>45380</v>
      </c>
      <c r="C439" t="s">
        <v>65</v>
      </c>
      <c r="D439" t="s">
        <v>66</v>
      </c>
      <c r="E439" t="s">
        <v>11</v>
      </c>
      <c r="F439" t="s">
        <v>134</v>
      </c>
      <c r="G439" t="s">
        <v>135</v>
      </c>
      <c r="H439" t="s">
        <v>67</v>
      </c>
      <c r="I439" t="s">
        <v>648</v>
      </c>
      <c r="J439" t="s">
        <v>43</v>
      </c>
      <c r="K439" t="s">
        <v>141</v>
      </c>
      <c r="L439" t="s">
        <v>70</v>
      </c>
      <c r="N439">
        <f t="shared" si="30"/>
        <v>13</v>
      </c>
      <c r="O439">
        <f t="shared" si="31"/>
        <v>3</v>
      </c>
      <c r="P439" t="str">
        <f t="shared" si="32"/>
        <v>Observed Better</v>
      </c>
      <c r="Q439" t="str">
        <f t="shared" si="33"/>
        <v>March</v>
      </c>
      <c r="R439" t="str">
        <f t="shared" si="34"/>
        <v>Week 13</v>
      </c>
    </row>
    <row r="440" spans="1:18" x14ac:dyDescent="0.2">
      <c r="A440" s="11">
        <v>243636</v>
      </c>
      <c r="B440" s="2">
        <v>45380</v>
      </c>
      <c r="C440" t="s">
        <v>65</v>
      </c>
      <c r="D440" t="s">
        <v>66</v>
      </c>
      <c r="E440" t="s">
        <v>11</v>
      </c>
      <c r="F440" t="s">
        <v>134</v>
      </c>
      <c r="G440" t="s">
        <v>135</v>
      </c>
      <c r="H440" t="s">
        <v>67</v>
      </c>
      <c r="I440" t="s">
        <v>648</v>
      </c>
      <c r="J440" t="s">
        <v>43</v>
      </c>
      <c r="K440" t="s">
        <v>141</v>
      </c>
      <c r="L440" t="s">
        <v>70</v>
      </c>
      <c r="N440">
        <f t="shared" si="30"/>
        <v>13</v>
      </c>
      <c r="O440">
        <f t="shared" si="31"/>
        <v>3</v>
      </c>
      <c r="P440" t="str">
        <f t="shared" si="32"/>
        <v>Observed Better</v>
      </c>
      <c r="Q440" t="str">
        <f t="shared" si="33"/>
        <v>March</v>
      </c>
      <c r="R440" t="str">
        <f t="shared" si="34"/>
        <v>Week 13</v>
      </c>
    </row>
    <row r="441" spans="1:18" x14ac:dyDescent="0.2">
      <c r="A441" s="11">
        <v>243637</v>
      </c>
      <c r="B441" s="2">
        <v>45380</v>
      </c>
      <c r="C441" t="s">
        <v>65</v>
      </c>
      <c r="D441" t="s">
        <v>66</v>
      </c>
      <c r="E441" t="s">
        <v>8</v>
      </c>
      <c r="F441" t="s">
        <v>427</v>
      </c>
      <c r="G441" t="s">
        <v>489</v>
      </c>
      <c r="H441" t="s">
        <v>67</v>
      </c>
      <c r="I441" t="s">
        <v>649</v>
      </c>
      <c r="J441" t="s">
        <v>455</v>
      </c>
      <c r="K441" t="s">
        <v>456</v>
      </c>
      <c r="L441" t="s">
        <v>77</v>
      </c>
      <c r="M441" t="s">
        <v>650</v>
      </c>
      <c r="N441">
        <f t="shared" si="30"/>
        <v>13</v>
      </c>
      <c r="O441">
        <f t="shared" si="31"/>
        <v>3</v>
      </c>
      <c r="P441" t="str">
        <f t="shared" si="32"/>
        <v>Provided Guidance</v>
      </c>
      <c r="Q441" t="str">
        <f t="shared" si="33"/>
        <v>March</v>
      </c>
      <c r="R441" t="str">
        <f t="shared" si="34"/>
        <v>Week 13</v>
      </c>
    </row>
    <row r="442" spans="1:18" x14ac:dyDescent="0.2">
      <c r="A442" s="11">
        <v>243638</v>
      </c>
      <c r="B442" s="2">
        <v>45380</v>
      </c>
      <c r="C442" t="s">
        <v>65</v>
      </c>
      <c r="D442" t="s">
        <v>66</v>
      </c>
      <c r="E442" t="s">
        <v>8</v>
      </c>
      <c r="F442" t="s">
        <v>427</v>
      </c>
      <c r="G442" t="s">
        <v>489</v>
      </c>
      <c r="H442" t="s">
        <v>67</v>
      </c>
      <c r="I442" t="s">
        <v>649</v>
      </c>
      <c r="J442" t="s">
        <v>455</v>
      </c>
      <c r="K442" t="s">
        <v>456</v>
      </c>
      <c r="L442" t="s">
        <v>77</v>
      </c>
      <c r="M442" t="s">
        <v>650</v>
      </c>
      <c r="N442">
        <f t="shared" si="30"/>
        <v>13</v>
      </c>
      <c r="O442">
        <f t="shared" si="31"/>
        <v>3</v>
      </c>
      <c r="P442" t="str">
        <f t="shared" si="32"/>
        <v>Provided Guidance</v>
      </c>
      <c r="Q442" t="str">
        <f t="shared" si="33"/>
        <v>March</v>
      </c>
      <c r="R442" t="str">
        <f t="shared" si="34"/>
        <v>Week 13</v>
      </c>
    </row>
    <row r="443" spans="1:18" x14ac:dyDescent="0.2">
      <c r="A443" s="11">
        <v>243639</v>
      </c>
      <c r="B443" s="2">
        <v>45380</v>
      </c>
      <c r="C443" t="s">
        <v>65</v>
      </c>
      <c r="D443" t="s">
        <v>66</v>
      </c>
      <c r="E443" t="s">
        <v>8</v>
      </c>
      <c r="F443" t="s">
        <v>427</v>
      </c>
      <c r="G443" t="s">
        <v>489</v>
      </c>
      <c r="H443" t="s">
        <v>67</v>
      </c>
      <c r="I443" t="s">
        <v>649</v>
      </c>
      <c r="J443" t="s">
        <v>455</v>
      </c>
      <c r="K443" t="s">
        <v>456</v>
      </c>
      <c r="L443" t="s">
        <v>77</v>
      </c>
      <c r="M443" t="s">
        <v>650</v>
      </c>
      <c r="N443">
        <f t="shared" si="30"/>
        <v>13</v>
      </c>
      <c r="O443">
        <f t="shared" si="31"/>
        <v>3</v>
      </c>
      <c r="P443" t="str">
        <f t="shared" si="32"/>
        <v>Provided Guidance</v>
      </c>
      <c r="Q443" t="str">
        <f t="shared" si="33"/>
        <v>March</v>
      </c>
      <c r="R443" t="str">
        <f t="shared" si="34"/>
        <v>Week 13</v>
      </c>
    </row>
    <row r="444" spans="1:18" x14ac:dyDescent="0.2">
      <c r="A444" s="11">
        <v>243640</v>
      </c>
      <c r="B444" s="2">
        <v>45380</v>
      </c>
      <c r="C444" t="s">
        <v>65</v>
      </c>
      <c r="D444" t="s">
        <v>66</v>
      </c>
      <c r="E444" t="s">
        <v>20</v>
      </c>
      <c r="F444" t="s">
        <v>21</v>
      </c>
      <c r="G444" t="s">
        <v>22</v>
      </c>
      <c r="H444" t="s">
        <v>67</v>
      </c>
      <c r="I444" t="s">
        <v>651</v>
      </c>
      <c r="J444" t="s">
        <v>38</v>
      </c>
      <c r="K444" t="s">
        <v>97</v>
      </c>
      <c r="L444" t="s">
        <v>70</v>
      </c>
      <c r="M444" t="s">
        <v>652</v>
      </c>
      <c r="N444">
        <f t="shared" si="30"/>
        <v>13</v>
      </c>
      <c r="O444">
        <f t="shared" si="31"/>
        <v>3</v>
      </c>
      <c r="P444" t="str">
        <f t="shared" si="32"/>
        <v>Observed Better</v>
      </c>
      <c r="Q444" t="str">
        <f t="shared" si="33"/>
        <v>March</v>
      </c>
      <c r="R444" t="str">
        <f t="shared" si="34"/>
        <v>Week 13</v>
      </c>
    </row>
    <row r="445" spans="1:18" x14ac:dyDescent="0.2">
      <c r="A445" s="11">
        <v>243641</v>
      </c>
      <c r="B445" s="2">
        <v>45380</v>
      </c>
      <c r="C445" t="s">
        <v>65</v>
      </c>
      <c r="D445" t="s">
        <v>66</v>
      </c>
      <c r="E445" t="s">
        <v>20</v>
      </c>
      <c r="F445" t="s">
        <v>235</v>
      </c>
      <c r="H445" t="s">
        <v>67</v>
      </c>
      <c r="I445" t="s">
        <v>653</v>
      </c>
      <c r="J445" t="s">
        <v>38</v>
      </c>
      <c r="K445" t="s">
        <v>97</v>
      </c>
      <c r="L445" t="s">
        <v>70</v>
      </c>
      <c r="M445" t="s">
        <v>654</v>
      </c>
      <c r="N445">
        <f t="shared" si="30"/>
        <v>13</v>
      </c>
      <c r="O445">
        <f t="shared" si="31"/>
        <v>3</v>
      </c>
      <c r="P445" t="str">
        <f t="shared" si="32"/>
        <v>Observed Better</v>
      </c>
      <c r="Q445" t="str">
        <f t="shared" si="33"/>
        <v>March</v>
      </c>
      <c r="R445" t="str">
        <f t="shared" si="34"/>
        <v>Week 13</v>
      </c>
    </row>
    <row r="446" spans="1:18" x14ac:dyDescent="0.2">
      <c r="A446" s="11">
        <v>243642</v>
      </c>
      <c r="B446" s="2">
        <v>45380</v>
      </c>
      <c r="C446" t="s">
        <v>65</v>
      </c>
      <c r="D446" t="s">
        <v>66</v>
      </c>
      <c r="E446" t="s">
        <v>8</v>
      </c>
      <c r="F446" t="s">
        <v>9</v>
      </c>
      <c r="G446" t="s">
        <v>10</v>
      </c>
      <c r="H446" t="s">
        <v>67</v>
      </c>
      <c r="I446" t="s">
        <v>655</v>
      </c>
      <c r="J446" t="s">
        <v>38</v>
      </c>
      <c r="K446" t="s">
        <v>97</v>
      </c>
      <c r="L446" t="s">
        <v>70</v>
      </c>
      <c r="M446" t="s">
        <v>656</v>
      </c>
      <c r="N446">
        <f t="shared" si="30"/>
        <v>13</v>
      </c>
      <c r="O446">
        <f t="shared" si="31"/>
        <v>3</v>
      </c>
      <c r="P446" t="str">
        <f t="shared" si="32"/>
        <v>Observed Better</v>
      </c>
      <c r="Q446" t="str">
        <f t="shared" si="33"/>
        <v>March</v>
      </c>
      <c r="R446" t="str">
        <f t="shared" si="34"/>
        <v>Week 13</v>
      </c>
    </row>
    <row r="447" spans="1:18" x14ac:dyDescent="0.2">
      <c r="A447" s="11">
        <v>243661</v>
      </c>
      <c r="B447" s="2">
        <v>45385</v>
      </c>
      <c r="C447" t="s">
        <v>65</v>
      </c>
      <c r="D447" t="s">
        <v>66</v>
      </c>
      <c r="E447" t="s">
        <v>20</v>
      </c>
      <c r="F447" t="s">
        <v>235</v>
      </c>
      <c r="H447" t="s">
        <v>67</v>
      </c>
      <c r="I447" t="s">
        <v>657</v>
      </c>
      <c r="J447" t="s">
        <v>110</v>
      </c>
      <c r="K447" t="s">
        <v>111</v>
      </c>
      <c r="L447" t="s">
        <v>70</v>
      </c>
      <c r="N447">
        <f t="shared" si="30"/>
        <v>14</v>
      </c>
      <c r="O447">
        <f t="shared" si="31"/>
        <v>4</v>
      </c>
      <c r="P447" t="str">
        <f t="shared" si="32"/>
        <v>Observed Better</v>
      </c>
      <c r="Q447" t="str">
        <f t="shared" si="33"/>
        <v>April</v>
      </c>
      <c r="R447" t="str">
        <f t="shared" si="34"/>
        <v>Week 14</v>
      </c>
    </row>
    <row r="448" spans="1:18" x14ac:dyDescent="0.2">
      <c r="A448" s="11">
        <v>243662</v>
      </c>
      <c r="B448" s="2">
        <v>45385</v>
      </c>
      <c r="C448" t="s">
        <v>65</v>
      </c>
      <c r="D448" t="s">
        <v>66</v>
      </c>
      <c r="E448" t="s">
        <v>20</v>
      </c>
      <c r="F448" t="s">
        <v>235</v>
      </c>
      <c r="H448" t="s">
        <v>67</v>
      </c>
      <c r="I448" t="s">
        <v>658</v>
      </c>
      <c r="J448" t="s">
        <v>110</v>
      </c>
      <c r="K448" t="s">
        <v>111</v>
      </c>
      <c r="L448" t="s">
        <v>70</v>
      </c>
      <c r="N448">
        <f t="shared" si="30"/>
        <v>14</v>
      </c>
      <c r="O448">
        <f t="shared" si="31"/>
        <v>4</v>
      </c>
      <c r="P448" t="str">
        <f t="shared" si="32"/>
        <v>Observed Better</v>
      </c>
      <c r="Q448" t="str">
        <f t="shared" si="33"/>
        <v>April</v>
      </c>
      <c r="R448" t="str">
        <f t="shared" si="34"/>
        <v>Week 14</v>
      </c>
    </row>
    <row r="449" spans="1:18" x14ac:dyDescent="0.2">
      <c r="A449" s="11">
        <v>243663</v>
      </c>
      <c r="B449" s="2">
        <v>45385</v>
      </c>
      <c r="C449" t="s">
        <v>65</v>
      </c>
      <c r="D449" t="s">
        <v>66</v>
      </c>
      <c r="E449" t="s">
        <v>20</v>
      </c>
      <c r="F449" t="s">
        <v>235</v>
      </c>
      <c r="H449" t="s">
        <v>67</v>
      </c>
      <c r="I449" t="s">
        <v>659</v>
      </c>
      <c r="J449" t="s">
        <v>110</v>
      </c>
      <c r="K449" t="s">
        <v>111</v>
      </c>
      <c r="L449" t="s">
        <v>70</v>
      </c>
      <c r="N449">
        <f t="shared" si="30"/>
        <v>14</v>
      </c>
      <c r="O449">
        <f t="shared" si="31"/>
        <v>4</v>
      </c>
      <c r="P449" t="str">
        <f t="shared" si="32"/>
        <v>Observed Better</v>
      </c>
      <c r="Q449" t="str">
        <f t="shared" si="33"/>
        <v>April</v>
      </c>
      <c r="R449" t="str">
        <f t="shared" si="34"/>
        <v>Week 14</v>
      </c>
    </row>
    <row r="450" spans="1:18" x14ac:dyDescent="0.2">
      <c r="A450" s="11">
        <v>243664</v>
      </c>
      <c r="B450" s="2">
        <v>45385</v>
      </c>
      <c r="C450" t="s">
        <v>65</v>
      </c>
      <c r="D450" t="s">
        <v>66</v>
      </c>
      <c r="E450" t="s">
        <v>20</v>
      </c>
      <c r="F450" t="s">
        <v>235</v>
      </c>
      <c r="H450" t="s">
        <v>67</v>
      </c>
      <c r="I450" t="s">
        <v>660</v>
      </c>
      <c r="J450" t="s">
        <v>110</v>
      </c>
      <c r="K450" t="s">
        <v>111</v>
      </c>
      <c r="L450" t="s">
        <v>70</v>
      </c>
      <c r="N450">
        <f t="shared" ref="N450:N513" si="35">IF(ISBLANK(B450)," ",WEEKNUM(B450))</f>
        <v>14</v>
      </c>
      <c r="O450">
        <f t="shared" ref="O450:O513" si="36">IF(ISBLANK(B450)," ",MONTH(B450))</f>
        <v>4</v>
      </c>
      <c r="P450" t="str">
        <f t="shared" ref="P450:P513" si="37">IF(ISNUMBER(SEARCH("provided",L450)),"Provided Guidance","Observed Better")</f>
        <v>Observed Better</v>
      </c>
      <c r="Q450" t="str">
        <f t="shared" ref="Q450:Q513" si="38">IF(O450=" "," ",TEXT(O450*29,"mmmm"))</f>
        <v>April</v>
      </c>
      <c r="R450" t="str">
        <f t="shared" ref="R450:R513" si="39">IF(N450=" "," ",_xlfn.CONCAT("Week ",+TEXT(N450,"0")))</f>
        <v>Week 14</v>
      </c>
    </row>
    <row r="451" spans="1:18" x14ac:dyDescent="0.2">
      <c r="A451" s="11">
        <v>243665</v>
      </c>
      <c r="B451" s="2">
        <v>45385</v>
      </c>
      <c r="C451" t="s">
        <v>65</v>
      </c>
      <c r="D451" t="s">
        <v>66</v>
      </c>
      <c r="E451" t="s">
        <v>8</v>
      </c>
      <c r="F451" t="s">
        <v>9</v>
      </c>
      <c r="G451" t="s">
        <v>203</v>
      </c>
      <c r="H451" t="s">
        <v>67</v>
      </c>
      <c r="I451" t="s">
        <v>661</v>
      </c>
      <c r="J451" t="s">
        <v>34</v>
      </c>
      <c r="K451" t="s">
        <v>295</v>
      </c>
      <c r="L451" t="s">
        <v>77</v>
      </c>
      <c r="M451" t="s">
        <v>357</v>
      </c>
      <c r="N451">
        <f t="shared" si="35"/>
        <v>14</v>
      </c>
      <c r="O451">
        <f t="shared" si="36"/>
        <v>4</v>
      </c>
      <c r="P451" t="str">
        <f t="shared" si="37"/>
        <v>Provided Guidance</v>
      </c>
      <c r="Q451" t="str">
        <f t="shared" si="38"/>
        <v>April</v>
      </c>
      <c r="R451" t="str">
        <f t="shared" si="39"/>
        <v>Week 14</v>
      </c>
    </row>
    <row r="452" spans="1:18" x14ac:dyDescent="0.2">
      <c r="A452" s="11">
        <v>243666</v>
      </c>
      <c r="B452" s="2">
        <v>45385</v>
      </c>
      <c r="C452" t="s">
        <v>65</v>
      </c>
      <c r="D452" t="s">
        <v>66</v>
      </c>
      <c r="E452" t="s">
        <v>11</v>
      </c>
      <c r="F452" t="s">
        <v>363</v>
      </c>
      <c r="G452" t="s">
        <v>364</v>
      </c>
      <c r="H452" t="s">
        <v>67</v>
      </c>
      <c r="I452" t="s">
        <v>662</v>
      </c>
      <c r="J452" t="s">
        <v>34</v>
      </c>
      <c r="K452" t="s">
        <v>295</v>
      </c>
      <c r="L452" t="s">
        <v>77</v>
      </c>
      <c r="M452" t="s">
        <v>357</v>
      </c>
      <c r="N452">
        <f t="shared" si="35"/>
        <v>14</v>
      </c>
      <c r="O452">
        <f t="shared" si="36"/>
        <v>4</v>
      </c>
      <c r="P452" t="str">
        <f t="shared" si="37"/>
        <v>Provided Guidance</v>
      </c>
      <c r="Q452" t="str">
        <f t="shared" si="38"/>
        <v>April</v>
      </c>
      <c r="R452" t="str">
        <f t="shared" si="39"/>
        <v>Week 14</v>
      </c>
    </row>
    <row r="453" spans="1:18" x14ac:dyDescent="0.2">
      <c r="A453" s="11">
        <v>243667</v>
      </c>
      <c r="B453" s="2">
        <v>45385</v>
      </c>
      <c r="C453" t="s">
        <v>65</v>
      </c>
      <c r="D453" t="s">
        <v>66</v>
      </c>
      <c r="E453" t="s">
        <v>16</v>
      </c>
      <c r="F453" t="s">
        <v>162</v>
      </c>
      <c r="H453" t="s">
        <v>67</v>
      </c>
      <c r="I453" t="s">
        <v>663</v>
      </c>
      <c r="J453" t="s">
        <v>125</v>
      </c>
      <c r="K453" t="s">
        <v>126</v>
      </c>
      <c r="L453" t="s">
        <v>70</v>
      </c>
      <c r="N453">
        <f t="shared" si="35"/>
        <v>14</v>
      </c>
      <c r="O453">
        <f t="shared" si="36"/>
        <v>4</v>
      </c>
      <c r="P453" t="str">
        <f t="shared" si="37"/>
        <v>Observed Better</v>
      </c>
      <c r="Q453" t="str">
        <f t="shared" si="38"/>
        <v>April</v>
      </c>
      <c r="R453" t="str">
        <f t="shared" si="39"/>
        <v>Week 14</v>
      </c>
    </row>
    <row r="454" spans="1:18" x14ac:dyDescent="0.2">
      <c r="A454" s="11">
        <v>243668</v>
      </c>
      <c r="B454" s="2">
        <v>45386</v>
      </c>
      <c r="C454" t="s">
        <v>65</v>
      </c>
      <c r="D454" t="s">
        <v>66</v>
      </c>
      <c r="E454" t="s">
        <v>16</v>
      </c>
      <c r="F454" t="s">
        <v>17</v>
      </c>
      <c r="H454" t="s">
        <v>67</v>
      </c>
      <c r="I454" t="s">
        <v>664</v>
      </c>
      <c r="J454" t="s">
        <v>125</v>
      </c>
      <c r="K454" t="s">
        <v>126</v>
      </c>
      <c r="L454" t="s">
        <v>70</v>
      </c>
      <c r="N454">
        <f t="shared" si="35"/>
        <v>14</v>
      </c>
      <c r="O454">
        <f t="shared" si="36"/>
        <v>4</v>
      </c>
      <c r="P454" t="str">
        <f t="shared" si="37"/>
        <v>Observed Better</v>
      </c>
      <c r="Q454" t="str">
        <f t="shared" si="38"/>
        <v>April</v>
      </c>
      <c r="R454" t="str">
        <f t="shared" si="39"/>
        <v>Week 14</v>
      </c>
    </row>
    <row r="455" spans="1:18" x14ac:dyDescent="0.2">
      <c r="A455" s="11">
        <v>243669</v>
      </c>
      <c r="B455" s="2">
        <v>45386</v>
      </c>
      <c r="C455" t="s">
        <v>65</v>
      </c>
      <c r="D455" t="s">
        <v>66</v>
      </c>
      <c r="E455" t="s">
        <v>11</v>
      </c>
      <c r="F455" t="s">
        <v>134</v>
      </c>
      <c r="G455" t="s">
        <v>370</v>
      </c>
      <c r="H455" t="s">
        <v>67</v>
      </c>
      <c r="I455" t="s">
        <v>665</v>
      </c>
      <c r="J455" t="s">
        <v>125</v>
      </c>
      <c r="K455" t="s">
        <v>126</v>
      </c>
      <c r="L455" t="s">
        <v>70</v>
      </c>
      <c r="N455">
        <f t="shared" si="35"/>
        <v>14</v>
      </c>
      <c r="O455">
        <f t="shared" si="36"/>
        <v>4</v>
      </c>
      <c r="P455" t="str">
        <f t="shared" si="37"/>
        <v>Observed Better</v>
      </c>
      <c r="Q455" t="str">
        <f t="shared" si="38"/>
        <v>April</v>
      </c>
      <c r="R455" t="str">
        <f t="shared" si="39"/>
        <v>Week 14</v>
      </c>
    </row>
    <row r="456" spans="1:18" x14ac:dyDescent="0.2">
      <c r="A456" s="11">
        <v>243670</v>
      </c>
      <c r="B456" s="2">
        <v>45386</v>
      </c>
      <c r="C456" t="s">
        <v>65</v>
      </c>
      <c r="D456" t="s">
        <v>66</v>
      </c>
      <c r="E456" t="s">
        <v>11</v>
      </c>
      <c r="F456" t="s">
        <v>134</v>
      </c>
      <c r="G456" t="s">
        <v>370</v>
      </c>
      <c r="H456" t="s">
        <v>67</v>
      </c>
      <c r="I456" t="s">
        <v>666</v>
      </c>
      <c r="J456" t="s">
        <v>125</v>
      </c>
      <c r="K456" t="s">
        <v>126</v>
      </c>
      <c r="L456" t="s">
        <v>70</v>
      </c>
      <c r="N456">
        <f t="shared" si="35"/>
        <v>14</v>
      </c>
      <c r="O456">
        <f t="shared" si="36"/>
        <v>4</v>
      </c>
      <c r="P456" t="str">
        <f t="shared" si="37"/>
        <v>Observed Better</v>
      </c>
      <c r="Q456" t="str">
        <f t="shared" si="38"/>
        <v>April</v>
      </c>
      <c r="R456" t="str">
        <f t="shared" si="39"/>
        <v>Week 14</v>
      </c>
    </row>
    <row r="457" spans="1:18" x14ac:dyDescent="0.2">
      <c r="A457" s="11">
        <v>243671</v>
      </c>
      <c r="B457" s="2">
        <v>45386</v>
      </c>
      <c r="C457" t="s">
        <v>65</v>
      </c>
      <c r="D457" t="s">
        <v>66</v>
      </c>
      <c r="E457" t="s">
        <v>20</v>
      </c>
      <c r="F457" t="s">
        <v>235</v>
      </c>
      <c r="H457" t="s">
        <v>67</v>
      </c>
      <c r="I457" t="s">
        <v>667</v>
      </c>
      <c r="J457" t="s">
        <v>580</v>
      </c>
      <c r="K457" t="s">
        <v>581</v>
      </c>
      <c r="L457" t="s">
        <v>70</v>
      </c>
      <c r="N457">
        <f t="shared" si="35"/>
        <v>14</v>
      </c>
      <c r="O457">
        <f t="shared" si="36"/>
        <v>4</v>
      </c>
      <c r="P457" t="str">
        <f t="shared" si="37"/>
        <v>Observed Better</v>
      </c>
      <c r="Q457" t="str">
        <f t="shared" si="38"/>
        <v>April</v>
      </c>
      <c r="R457" t="str">
        <f t="shared" si="39"/>
        <v>Week 14</v>
      </c>
    </row>
    <row r="458" spans="1:18" x14ac:dyDescent="0.2">
      <c r="A458" s="11">
        <v>243672</v>
      </c>
      <c r="B458" s="2">
        <v>45386</v>
      </c>
      <c r="C458" t="s">
        <v>65</v>
      </c>
      <c r="D458" t="s">
        <v>66</v>
      </c>
      <c r="E458" t="s">
        <v>20</v>
      </c>
      <c r="F458" t="s">
        <v>21</v>
      </c>
      <c r="G458" t="s">
        <v>22</v>
      </c>
      <c r="H458" t="s">
        <v>67</v>
      </c>
      <c r="I458" t="s">
        <v>668</v>
      </c>
      <c r="J458" t="s">
        <v>40</v>
      </c>
      <c r="K458" t="s">
        <v>76</v>
      </c>
      <c r="L458" t="s">
        <v>77</v>
      </c>
      <c r="M458" t="s">
        <v>669</v>
      </c>
      <c r="N458">
        <f t="shared" si="35"/>
        <v>14</v>
      </c>
      <c r="O458">
        <f t="shared" si="36"/>
        <v>4</v>
      </c>
      <c r="P458" t="str">
        <f t="shared" si="37"/>
        <v>Provided Guidance</v>
      </c>
      <c r="Q458" t="str">
        <f t="shared" si="38"/>
        <v>April</v>
      </c>
      <c r="R458" t="str">
        <f t="shared" si="39"/>
        <v>Week 14</v>
      </c>
    </row>
    <row r="459" spans="1:18" x14ac:dyDescent="0.2">
      <c r="A459" s="11">
        <v>243673</v>
      </c>
      <c r="B459" s="2">
        <v>45386</v>
      </c>
      <c r="C459" t="s">
        <v>65</v>
      </c>
      <c r="D459" t="s">
        <v>66</v>
      </c>
      <c r="E459" t="s">
        <v>20</v>
      </c>
      <c r="F459" t="s">
        <v>21</v>
      </c>
      <c r="G459" t="s">
        <v>22</v>
      </c>
      <c r="H459" t="s">
        <v>67</v>
      </c>
      <c r="I459" t="s">
        <v>670</v>
      </c>
      <c r="J459" t="s">
        <v>40</v>
      </c>
      <c r="K459" t="s">
        <v>76</v>
      </c>
      <c r="L459" t="s">
        <v>77</v>
      </c>
      <c r="M459" t="s">
        <v>671</v>
      </c>
      <c r="N459">
        <f t="shared" si="35"/>
        <v>14</v>
      </c>
      <c r="O459">
        <f t="shared" si="36"/>
        <v>4</v>
      </c>
      <c r="P459" t="str">
        <f t="shared" si="37"/>
        <v>Provided Guidance</v>
      </c>
      <c r="Q459" t="str">
        <f t="shared" si="38"/>
        <v>April</v>
      </c>
      <c r="R459" t="str">
        <f t="shared" si="39"/>
        <v>Week 14</v>
      </c>
    </row>
    <row r="460" spans="1:18" x14ac:dyDescent="0.2">
      <c r="A460" s="11">
        <v>243674</v>
      </c>
      <c r="B460" s="2">
        <v>45386</v>
      </c>
      <c r="C460" t="s">
        <v>65</v>
      </c>
      <c r="D460" t="s">
        <v>66</v>
      </c>
      <c r="E460" t="s">
        <v>20</v>
      </c>
      <c r="F460" t="s">
        <v>21</v>
      </c>
      <c r="G460" t="s">
        <v>22</v>
      </c>
      <c r="H460" t="s">
        <v>67</v>
      </c>
      <c r="I460" t="s">
        <v>672</v>
      </c>
      <c r="J460" t="s">
        <v>40</v>
      </c>
      <c r="K460" t="s">
        <v>76</v>
      </c>
      <c r="L460" t="s">
        <v>70</v>
      </c>
      <c r="M460" t="s">
        <v>673</v>
      </c>
      <c r="N460">
        <f t="shared" si="35"/>
        <v>14</v>
      </c>
      <c r="O460">
        <f t="shared" si="36"/>
        <v>4</v>
      </c>
      <c r="P460" t="str">
        <f t="shared" si="37"/>
        <v>Observed Better</v>
      </c>
      <c r="Q460" t="str">
        <f t="shared" si="38"/>
        <v>April</v>
      </c>
      <c r="R460" t="str">
        <f t="shared" si="39"/>
        <v>Week 14</v>
      </c>
    </row>
    <row r="461" spans="1:18" x14ac:dyDescent="0.2">
      <c r="A461" s="11">
        <v>243675</v>
      </c>
      <c r="B461" s="2">
        <v>45386</v>
      </c>
      <c r="C461" t="s">
        <v>65</v>
      </c>
      <c r="D461" t="s">
        <v>66</v>
      </c>
      <c r="E461" t="s">
        <v>16</v>
      </c>
      <c r="F461" t="s">
        <v>71</v>
      </c>
      <c r="H461" t="s">
        <v>67</v>
      </c>
      <c r="I461" t="s">
        <v>674</v>
      </c>
      <c r="J461" t="s">
        <v>580</v>
      </c>
      <c r="K461" t="s">
        <v>581</v>
      </c>
      <c r="L461" t="s">
        <v>70</v>
      </c>
      <c r="N461">
        <f t="shared" si="35"/>
        <v>14</v>
      </c>
      <c r="O461">
        <f t="shared" si="36"/>
        <v>4</v>
      </c>
      <c r="P461" t="str">
        <f t="shared" si="37"/>
        <v>Observed Better</v>
      </c>
      <c r="Q461" t="str">
        <f t="shared" si="38"/>
        <v>April</v>
      </c>
      <c r="R461" t="str">
        <f t="shared" si="39"/>
        <v>Week 14</v>
      </c>
    </row>
    <row r="462" spans="1:18" x14ac:dyDescent="0.2">
      <c r="A462" s="11">
        <v>243676</v>
      </c>
      <c r="B462" s="2">
        <v>45386</v>
      </c>
      <c r="C462" t="s">
        <v>65</v>
      </c>
      <c r="D462" t="s">
        <v>66</v>
      </c>
      <c r="E462" t="s">
        <v>20</v>
      </c>
      <c r="F462" t="s">
        <v>21</v>
      </c>
      <c r="G462" t="s">
        <v>22</v>
      </c>
      <c r="H462" t="s">
        <v>67</v>
      </c>
      <c r="I462" t="s">
        <v>675</v>
      </c>
      <c r="J462" t="s">
        <v>40</v>
      </c>
      <c r="K462" t="s">
        <v>76</v>
      </c>
      <c r="L462" t="s">
        <v>70</v>
      </c>
      <c r="M462" t="s">
        <v>676</v>
      </c>
      <c r="N462">
        <f t="shared" si="35"/>
        <v>14</v>
      </c>
      <c r="O462">
        <f t="shared" si="36"/>
        <v>4</v>
      </c>
      <c r="P462" t="str">
        <f t="shared" si="37"/>
        <v>Observed Better</v>
      </c>
      <c r="Q462" t="str">
        <f t="shared" si="38"/>
        <v>April</v>
      </c>
      <c r="R462" t="str">
        <f t="shared" si="39"/>
        <v>Week 14</v>
      </c>
    </row>
    <row r="463" spans="1:18" x14ac:dyDescent="0.2">
      <c r="A463" s="11">
        <v>243677</v>
      </c>
      <c r="B463" s="2">
        <v>45386</v>
      </c>
      <c r="C463" t="s">
        <v>65</v>
      </c>
      <c r="D463" t="s">
        <v>66</v>
      </c>
      <c r="E463" t="s">
        <v>20</v>
      </c>
      <c r="F463" t="s">
        <v>21</v>
      </c>
      <c r="G463" t="s">
        <v>22</v>
      </c>
      <c r="H463" t="s">
        <v>67</v>
      </c>
      <c r="I463" t="s">
        <v>677</v>
      </c>
      <c r="J463" t="s">
        <v>40</v>
      </c>
      <c r="K463" t="s">
        <v>76</v>
      </c>
      <c r="L463" t="s">
        <v>70</v>
      </c>
      <c r="M463" t="s">
        <v>678</v>
      </c>
      <c r="N463">
        <f t="shared" si="35"/>
        <v>14</v>
      </c>
      <c r="O463">
        <f t="shared" si="36"/>
        <v>4</v>
      </c>
      <c r="P463" t="str">
        <f t="shared" si="37"/>
        <v>Observed Better</v>
      </c>
      <c r="Q463" t="str">
        <f t="shared" si="38"/>
        <v>April</v>
      </c>
      <c r="R463" t="str">
        <f t="shared" si="39"/>
        <v>Week 14</v>
      </c>
    </row>
    <row r="464" spans="1:18" x14ac:dyDescent="0.2">
      <c r="A464" s="11">
        <v>243678</v>
      </c>
      <c r="B464" s="2">
        <v>45386</v>
      </c>
      <c r="C464" t="s">
        <v>65</v>
      </c>
      <c r="D464" t="s">
        <v>66</v>
      </c>
      <c r="E464" t="s">
        <v>20</v>
      </c>
      <c r="F464" t="s">
        <v>21</v>
      </c>
      <c r="G464" t="s">
        <v>22</v>
      </c>
      <c r="H464" t="s">
        <v>67</v>
      </c>
      <c r="I464" t="s">
        <v>679</v>
      </c>
      <c r="J464" t="s">
        <v>40</v>
      </c>
      <c r="K464" t="s">
        <v>76</v>
      </c>
      <c r="L464" t="s">
        <v>70</v>
      </c>
      <c r="M464" t="s">
        <v>680</v>
      </c>
      <c r="N464">
        <f t="shared" si="35"/>
        <v>14</v>
      </c>
      <c r="O464">
        <f t="shared" si="36"/>
        <v>4</v>
      </c>
      <c r="P464" t="str">
        <f t="shared" si="37"/>
        <v>Observed Better</v>
      </c>
      <c r="Q464" t="str">
        <f t="shared" si="38"/>
        <v>April</v>
      </c>
      <c r="R464" t="str">
        <f t="shared" si="39"/>
        <v>Week 14</v>
      </c>
    </row>
    <row r="465" spans="1:18" x14ac:dyDescent="0.2">
      <c r="A465" s="11">
        <v>243679</v>
      </c>
      <c r="B465" s="2">
        <v>45386</v>
      </c>
      <c r="C465" t="s">
        <v>65</v>
      </c>
      <c r="D465" t="s">
        <v>66</v>
      </c>
      <c r="E465" t="s">
        <v>20</v>
      </c>
      <c r="F465" t="s">
        <v>21</v>
      </c>
      <c r="G465" t="s">
        <v>22</v>
      </c>
      <c r="H465" t="s">
        <v>67</v>
      </c>
      <c r="I465" t="s">
        <v>681</v>
      </c>
      <c r="J465" t="s">
        <v>40</v>
      </c>
      <c r="K465" t="s">
        <v>76</v>
      </c>
      <c r="L465" t="s">
        <v>70</v>
      </c>
      <c r="M465" t="s">
        <v>682</v>
      </c>
      <c r="N465">
        <f t="shared" si="35"/>
        <v>14</v>
      </c>
      <c r="O465">
        <f t="shared" si="36"/>
        <v>4</v>
      </c>
      <c r="P465" t="str">
        <f t="shared" si="37"/>
        <v>Observed Better</v>
      </c>
      <c r="Q465" t="str">
        <f t="shared" si="38"/>
        <v>April</v>
      </c>
      <c r="R465" t="str">
        <f t="shared" si="39"/>
        <v>Week 14</v>
      </c>
    </row>
    <row r="466" spans="1:18" x14ac:dyDescent="0.2">
      <c r="A466" s="11">
        <v>243680</v>
      </c>
      <c r="B466" s="2">
        <v>45386</v>
      </c>
      <c r="C466" t="s">
        <v>65</v>
      </c>
      <c r="D466" t="s">
        <v>66</v>
      </c>
      <c r="E466" t="s">
        <v>20</v>
      </c>
      <c r="F466" t="s">
        <v>21</v>
      </c>
      <c r="G466" t="s">
        <v>22</v>
      </c>
      <c r="H466" t="s">
        <v>67</v>
      </c>
      <c r="I466" t="s">
        <v>683</v>
      </c>
      <c r="J466" t="s">
        <v>40</v>
      </c>
      <c r="K466" t="s">
        <v>76</v>
      </c>
      <c r="L466" t="s">
        <v>70</v>
      </c>
      <c r="M466" t="s">
        <v>684</v>
      </c>
      <c r="N466">
        <f t="shared" si="35"/>
        <v>14</v>
      </c>
      <c r="O466">
        <f t="shared" si="36"/>
        <v>4</v>
      </c>
      <c r="P466" t="str">
        <f t="shared" si="37"/>
        <v>Observed Better</v>
      </c>
      <c r="Q466" t="str">
        <f t="shared" si="38"/>
        <v>April</v>
      </c>
      <c r="R466" t="str">
        <f t="shared" si="39"/>
        <v>Week 14</v>
      </c>
    </row>
    <row r="467" spans="1:18" x14ac:dyDescent="0.2">
      <c r="A467" s="11">
        <v>243681</v>
      </c>
      <c r="B467" s="2">
        <v>45386</v>
      </c>
      <c r="C467" t="s">
        <v>65</v>
      </c>
      <c r="D467" t="s">
        <v>66</v>
      </c>
      <c r="E467" t="s">
        <v>16</v>
      </c>
      <c r="F467" t="s">
        <v>227</v>
      </c>
      <c r="H467" t="s">
        <v>67</v>
      </c>
      <c r="I467" t="s">
        <v>685</v>
      </c>
      <c r="J467" t="s">
        <v>580</v>
      </c>
      <c r="K467" t="s">
        <v>581</v>
      </c>
      <c r="L467" t="s">
        <v>70</v>
      </c>
      <c r="N467">
        <f t="shared" si="35"/>
        <v>14</v>
      </c>
      <c r="O467">
        <f t="shared" si="36"/>
        <v>4</v>
      </c>
      <c r="P467" t="str">
        <f t="shared" si="37"/>
        <v>Observed Better</v>
      </c>
      <c r="Q467" t="str">
        <f t="shared" si="38"/>
        <v>April</v>
      </c>
      <c r="R467" t="str">
        <f t="shared" si="39"/>
        <v>Week 14</v>
      </c>
    </row>
    <row r="468" spans="1:18" x14ac:dyDescent="0.2">
      <c r="A468" s="11">
        <v>243682</v>
      </c>
      <c r="B468" s="2">
        <v>45386</v>
      </c>
      <c r="C468" t="s">
        <v>65</v>
      </c>
      <c r="D468" t="s">
        <v>66</v>
      </c>
      <c r="E468" t="s">
        <v>20</v>
      </c>
      <c r="F468" t="s">
        <v>21</v>
      </c>
      <c r="G468" t="s">
        <v>22</v>
      </c>
      <c r="H468" t="s">
        <v>67</v>
      </c>
      <c r="I468" t="s">
        <v>686</v>
      </c>
      <c r="J468" t="s">
        <v>40</v>
      </c>
      <c r="K468" t="s">
        <v>76</v>
      </c>
      <c r="L468" t="s">
        <v>70</v>
      </c>
      <c r="M468" t="s">
        <v>687</v>
      </c>
      <c r="N468">
        <f t="shared" si="35"/>
        <v>14</v>
      </c>
      <c r="O468">
        <f t="shared" si="36"/>
        <v>4</v>
      </c>
      <c r="P468" t="str">
        <f t="shared" si="37"/>
        <v>Observed Better</v>
      </c>
      <c r="Q468" t="str">
        <f t="shared" si="38"/>
        <v>April</v>
      </c>
      <c r="R468" t="str">
        <f t="shared" si="39"/>
        <v>Week 14</v>
      </c>
    </row>
    <row r="469" spans="1:18" x14ac:dyDescent="0.2">
      <c r="A469" s="11">
        <v>243683</v>
      </c>
      <c r="B469" s="2">
        <v>45386</v>
      </c>
      <c r="C469" t="s">
        <v>65</v>
      </c>
      <c r="D469" t="s">
        <v>66</v>
      </c>
      <c r="E469" t="s">
        <v>20</v>
      </c>
      <c r="F469" t="s">
        <v>21</v>
      </c>
      <c r="G469" t="s">
        <v>22</v>
      </c>
      <c r="H469" t="s">
        <v>67</v>
      </c>
      <c r="I469" t="s">
        <v>688</v>
      </c>
      <c r="J469" t="s">
        <v>40</v>
      </c>
      <c r="K469" t="s">
        <v>76</v>
      </c>
      <c r="L469" t="s">
        <v>70</v>
      </c>
      <c r="M469" t="s">
        <v>689</v>
      </c>
      <c r="N469">
        <f t="shared" si="35"/>
        <v>14</v>
      </c>
      <c r="O469">
        <f t="shared" si="36"/>
        <v>4</v>
      </c>
      <c r="P469" t="str">
        <f t="shared" si="37"/>
        <v>Observed Better</v>
      </c>
      <c r="Q469" t="str">
        <f t="shared" si="38"/>
        <v>April</v>
      </c>
      <c r="R469" t="str">
        <f t="shared" si="39"/>
        <v>Week 14</v>
      </c>
    </row>
    <row r="470" spans="1:18" x14ac:dyDescent="0.2">
      <c r="A470" s="11">
        <v>243684</v>
      </c>
      <c r="B470" s="2">
        <v>45386</v>
      </c>
      <c r="C470" t="s">
        <v>65</v>
      </c>
      <c r="D470" t="s">
        <v>66</v>
      </c>
      <c r="E470" t="s">
        <v>20</v>
      </c>
      <c r="F470" t="s">
        <v>21</v>
      </c>
      <c r="G470" t="s">
        <v>22</v>
      </c>
      <c r="H470" t="s">
        <v>67</v>
      </c>
      <c r="I470" t="s">
        <v>690</v>
      </c>
      <c r="J470" t="s">
        <v>40</v>
      </c>
      <c r="K470" t="s">
        <v>76</v>
      </c>
      <c r="L470" t="s">
        <v>70</v>
      </c>
      <c r="M470" t="s">
        <v>691</v>
      </c>
      <c r="N470">
        <f t="shared" si="35"/>
        <v>14</v>
      </c>
      <c r="O470">
        <f t="shared" si="36"/>
        <v>4</v>
      </c>
      <c r="P470" t="str">
        <f t="shared" si="37"/>
        <v>Observed Better</v>
      </c>
      <c r="Q470" t="str">
        <f t="shared" si="38"/>
        <v>April</v>
      </c>
      <c r="R470" t="str">
        <f t="shared" si="39"/>
        <v>Week 14</v>
      </c>
    </row>
    <row r="471" spans="1:18" x14ac:dyDescent="0.2">
      <c r="A471" s="11">
        <v>243685</v>
      </c>
      <c r="B471" s="2">
        <v>45386</v>
      </c>
      <c r="C471" t="s">
        <v>65</v>
      </c>
      <c r="D471" t="s">
        <v>66</v>
      </c>
      <c r="E471" t="s">
        <v>20</v>
      </c>
      <c r="F471" t="s">
        <v>21</v>
      </c>
      <c r="G471" t="s">
        <v>22</v>
      </c>
      <c r="H471" t="s">
        <v>67</v>
      </c>
      <c r="I471" t="s">
        <v>692</v>
      </c>
      <c r="J471" t="s">
        <v>40</v>
      </c>
      <c r="K471" t="s">
        <v>76</v>
      </c>
      <c r="L471" t="s">
        <v>70</v>
      </c>
      <c r="M471" t="s">
        <v>693</v>
      </c>
      <c r="N471">
        <f t="shared" si="35"/>
        <v>14</v>
      </c>
      <c r="O471">
        <f t="shared" si="36"/>
        <v>4</v>
      </c>
      <c r="P471" t="str">
        <f t="shared" si="37"/>
        <v>Observed Better</v>
      </c>
      <c r="Q471" t="str">
        <f t="shared" si="38"/>
        <v>April</v>
      </c>
      <c r="R471" t="str">
        <f t="shared" si="39"/>
        <v>Week 14</v>
      </c>
    </row>
    <row r="472" spans="1:18" x14ac:dyDescent="0.2">
      <c r="A472" s="11">
        <v>243686</v>
      </c>
      <c r="B472" s="2">
        <v>45386</v>
      </c>
      <c r="C472" t="s">
        <v>65</v>
      </c>
      <c r="D472" t="s">
        <v>66</v>
      </c>
      <c r="E472" t="s">
        <v>20</v>
      </c>
      <c r="F472" t="s">
        <v>21</v>
      </c>
      <c r="G472" t="s">
        <v>22</v>
      </c>
      <c r="H472" t="s">
        <v>67</v>
      </c>
      <c r="I472" t="s">
        <v>694</v>
      </c>
      <c r="J472" t="s">
        <v>40</v>
      </c>
      <c r="K472" t="s">
        <v>76</v>
      </c>
      <c r="L472" t="s">
        <v>70</v>
      </c>
      <c r="M472" t="s">
        <v>695</v>
      </c>
      <c r="N472">
        <f t="shared" si="35"/>
        <v>14</v>
      </c>
      <c r="O472">
        <f t="shared" si="36"/>
        <v>4</v>
      </c>
      <c r="P472" t="str">
        <f t="shared" si="37"/>
        <v>Observed Better</v>
      </c>
      <c r="Q472" t="str">
        <f t="shared" si="38"/>
        <v>April</v>
      </c>
      <c r="R472" t="str">
        <f t="shared" si="39"/>
        <v>Week 14</v>
      </c>
    </row>
    <row r="473" spans="1:18" x14ac:dyDescent="0.2">
      <c r="A473" s="11">
        <v>243687</v>
      </c>
      <c r="B473" s="2">
        <v>45386</v>
      </c>
      <c r="C473" t="s">
        <v>65</v>
      </c>
      <c r="D473" t="s">
        <v>66</v>
      </c>
      <c r="E473" t="s">
        <v>20</v>
      </c>
      <c r="F473" t="s">
        <v>21</v>
      </c>
      <c r="G473" t="s">
        <v>22</v>
      </c>
      <c r="H473" t="s">
        <v>67</v>
      </c>
      <c r="I473" t="s">
        <v>696</v>
      </c>
      <c r="J473" t="s">
        <v>40</v>
      </c>
      <c r="K473" t="s">
        <v>76</v>
      </c>
      <c r="L473" t="s">
        <v>70</v>
      </c>
      <c r="M473" t="s">
        <v>697</v>
      </c>
      <c r="N473">
        <f t="shared" si="35"/>
        <v>14</v>
      </c>
      <c r="O473">
        <f t="shared" si="36"/>
        <v>4</v>
      </c>
      <c r="P473" t="str">
        <f t="shared" si="37"/>
        <v>Observed Better</v>
      </c>
      <c r="Q473" t="str">
        <f t="shared" si="38"/>
        <v>April</v>
      </c>
      <c r="R473" t="str">
        <f t="shared" si="39"/>
        <v>Week 14</v>
      </c>
    </row>
    <row r="474" spans="1:18" x14ac:dyDescent="0.2">
      <c r="A474" s="11">
        <v>243688</v>
      </c>
      <c r="B474" s="2">
        <v>45386</v>
      </c>
      <c r="C474" t="s">
        <v>65</v>
      </c>
      <c r="D474" t="s">
        <v>66</v>
      </c>
      <c r="E474" t="s">
        <v>20</v>
      </c>
      <c r="F474" t="s">
        <v>21</v>
      </c>
      <c r="G474" t="s">
        <v>22</v>
      </c>
      <c r="H474" t="s">
        <v>67</v>
      </c>
      <c r="I474" t="s">
        <v>698</v>
      </c>
      <c r="J474" t="s">
        <v>40</v>
      </c>
      <c r="K474" t="s">
        <v>76</v>
      </c>
      <c r="L474" t="s">
        <v>70</v>
      </c>
      <c r="M474" t="s">
        <v>382</v>
      </c>
      <c r="N474">
        <f t="shared" si="35"/>
        <v>14</v>
      </c>
      <c r="O474">
        <f t="shared" si="36"/>
        <v>4</v>
      </c>
      <c r="P474" t="str">
        <f t="shared" si="37"/>
        <v>Observed Better</v>
      </c>
      <c r="Q474" t="str">
        <f t="shared" si="38"/>
        <v>April</v>
      </c>
      <c r="R474" t="str">
        <f t="shared" si="39"/>
        <v>Week 14</v>
      </c>
    </row>
    <row r="475" spans="1:18" x14ac:dyDescent="0.2">
      <c r="A475" s="11">
        <v>243689</v>
      </c>
      <c r="B475" s="2">
        <v>45386</v>
      </c>
      <c r="C475" t="s">
        <v>65</v>
      </c>
      <c r="D475" t="s">
        <v>66</v>
      </c>
      <c r="E475" t="s">
        <v>20</v>
      </c>
      <c r="F475" t="s">
        <v>21</v>
      </c>
      <c r="G475" t="s">
        <v>22</v>
      </c>
      <c r="H475" t="s">
        <v>67</v>
      </c>
      <c r="I475" t="s">
        <v>699</v>
      </c>
      <c r="J475" t="s">
        <v>40</v>
      </c>
      <c r="K475" t="s">
        <v>76</v>
      </c>
      <c r="L475" t="s">
        <v>70</v>
      </c>
      <c r="M475" t="s">
        <v>700</v>
      </c>
      <c r="N475">
        <f t="shared" si="35"/>
        <v>14</v>
      </c>
      <c r="O475">
        <f t="shared" si="36"/>
        <v>4</v>
      </c>
      <c r="P475" t="str">
        <f t="shared" si="37"/>
        <v>Observed Better</v>
      </c>
      <c r="Q475" t="str">
        <f t="shared" si="38"/>
        <v>April</v>
      </c>
      <c r="R475" t="str">
        <f t="shared" si="39"/>
        <v>Week 14</v>
      </c>
    </row>
    <row r="476" spans="1:18" x14ac:dyDescent="0.2">
      <c r="A476" s="11">
        <v>243690</v>
      </c>
      <c r="B476" s="2">
        <v>45386</v>
      </c>
      <c r="C476" t="s">
        <v>65</v>
      </c>
      <c r="D476" t="s">
        <v>66</v>
      </c>
      <c r="E476" t="s">
        <v>20</v>
      </c>
      <c r="F476" t="s">
        <v>21</v>
      </c>
      <c r="G476" t="s">
        <v>22</v>
      </c>
      <c r="H476" t="s">
        <v>67</v>
      </c>
      <c r="I476" t="s">
        <v>701</v>
      </c>
      <c r="J476" t="s">
        <v>40</v>
      </c>
      <c r="K476" t="s">
        <v>76</v>
      </c>
      <c r="L476" t="s">
        <v>70</v>
      </c>
      <c r="M476" t="s">
        <v>702</v>
      </c>
      <c r="N476">
        <f t="shared" si="35"/>
        <v>14</v>
      </c>
      <c r="O476">
        <f t="shared" si="36"/>
        <v>4</v>
      </c>
      <c r="P476" t="str">
        <f t="shared" si="37"/>
        <v>Observed Better</v>
      </c>
      <c r="Q476" t="str">
        <f t="shared" si="38"/>
        <v>April</v>
      </c>
      <c r="R476" t="str">
        <f t="shared" si="39"/>
        <v>Week 14</v>
      </c>
    </row>
    <row r="477" spans="1:18" x14ac:dyDescent="0.2">
      <c r="A477" s="11">
        <v>243691</v>
      </c>
      <c r="B477" s="2">
        <v>45386</v>
      </c>
      <c r="C477" t="s">
        <v>65</v>
      </c>
      <c r="D477" t="s">
        <v>66</v>
      </c>
      <c r="E477" t="s">
        <v>20</v>
      </c>
      <c r="F477" t="s">
        <v>21</v>
      </c>
      <c r="G477" t="s">
        <v>22</v>
      </c>
      <c r="H477" t="s">
        <v>67</v>
      </c>
      <c r="I477" t="s">
        <v>703</v>
      </c>
      <c r="J477" t="s">
        <v>40</v>
      </c>
      <c r="K477" t="s">
        <v>76</v>
      </c>
      <c r="L477" t="s">
        <v>70</v>
      </c>
      <c r="M477" t="s">
        <v>387</v>
      </c>
      <c r="N477">
        <f t="shared" si="35"/>
        <v>14</v>
      </c>
      <c r="O477">
        <f t="shared" si="36"/>
        <v>4</v>
      </c>
      <c r="P477" t="str">
        <f t="shared" si="37"/>
        <v>Observed Better</v>
      </c>
      <c r="Q477" t="str">
        <f t="shared" si="38"/>
        <v>April</v>
      </c>
      <c r="R477" t="str">
        <f t="shared" si="39"/>
        <v>Week 14</v>
      </c>
    </row>
    <row r="478" spans="1:18" x14ac:dyDescent="0.2">
      <c r="A478" s="11">
        <v>243692</v>
      </c>
      <c r="B478" s="2">
        <v>45386</v>
      </c>
      <c r="C478" t="s">
        <v>65</v>
      </c>
      <c r="D478" t="s">
        <v>66</v>
      </c>
      <c r="E478" t="s">
        <v>20</v>
      </c>
      <c r="F478" t="s">
        <v>21</v>
      </c>
      <c r="G478" t="s">
        <v>22</v>
      </c>
      <c r="H478" t="s">
        <v>67</v>
      </c>
      <c r="I478" t="s">
        <v>704</v>
      </c>
      <c r="J478" t="s">
        <v>40</v>
      </c>
      <c r="K478" t="s">
        <v>76</v>
      </c>
      <c r="L478" t="s">
        <v>70</v>
      </c>
      <c r="M478" t="s">
        <v>705</v>
      </c>
      <c r="N478">
        <f t="shared" si="35"/>
        <v>14</v>
      </c>
      <c r="O478">
        <f t="shared" si="36"/>
        <v>4</v>
      </c>
      <c r="P478" t="str">
        <f t="shared" si="37"/>
        <v>Observed Better</v>
      </c>
      <c r="Q478" t="str">
        <f t="shared" si="38"/>
        <v>April</v>
      </c>
      <c r="R478" t="str">
        <f t="shared" si="39"/>
        <v>Week 14</v>
      </c>
    </row>
    <row r="479" spans="1:18" x14ac:dyDescent="0.2">
      <c r="A479" s="11">
        <v>243693</v>
      </c>
      <c r="B479" s="2">
        <v>45386</v>
      </c>
      <c r="C479" t="s">
        <v>65</v>
      </c>
      <c r="D479" t="s">
        <v>66</v>
      </c>
      <c r="E479" t="s">
        <v>20</v>
      </c>
      <c r="F479" t="s">
        <v>21</v>
      </c>
      <c r="G479" t="s">
        <v>22</v>
      </c>
      <c r="H479" t="s">
        <v>67</v>
      </c>
      <c r="I479" t="s">
        <v>706</v>
      </c>
      <c r="J479" t="s">
        <v>40</v>
      </c>
      <c r="K479" t="s">
        <v>76</v>
      </c>
      <c r="L479" t="s">
        <v>70</v>
      </c>
      <c r="M479" t="s">
        <v>389</v>
      </c>
      <c r="N479">
        <f t="shared" si="35"/>
        <v>14</v>
      </c>
      <c r="O479">
        <f t="shared" si="36"/>
        <v>4</v>
      </c>
      <c r="P479" t="str">
        <f t="shared" si="37"/>
        <v>Observed Better</v>
      </c>
      <c r="Q479" t="str">
        <f t="shared" si="38"/>
        <v>April</v>
      </c>
      <c r="R479" t="str">
        <f t="shared" si="39"/>
        <v>Week 14</v>
      </c>
    </row>
    <row r="480" spans="1:18" x14ac:dyDescent="0.2">
      <c r="A480" s="11">
        <v>243694</v>
      </c>
      <c r="B480" s="2">
        <v>45386</v>
      </c>
      <c r="C480" t="s">
        <v>65</v>
      </c>
      <c r="D480" t="s">
        <v>66</v>
      </c>
      <c r="E480" t="s">
        <v>20</v>
      </c>
      <c r="F480" t="s">
        <v>21</v>
      </c>
      <c r="G480" t="s">
        <v>22</v>
      </c>
      <c r="H480" t="s">
        <v>67</v>
      </c>
      <c r="I480" t="s">
        <v>707</v>
      </c>
      <c r="J480" t="s">
        <v>40</v>
      </c>
      <c r="K480" t="s">
        <v>76</v>
      </c>
      <c r="L480" t="s">
        <v>70</v>
      </c>
      <c r="M480" t="s">
        <v>708</v>
      </c>
      <c r="N480">
        <f t="shared" si="35"/>
        <v>14</v>
      </c>
      <c r="O480">
        <f t="shared" si="36"/>
        <v>4</v>
      </c>
      <c r="P480" t="str">
        <f t="shared" si="37"/>
        <v>Observed Better</v>
      </c>
      <c r="Q480" t="str">
        <f t="shared" si="38"/>
        <v>April</v>
      </c>
      <c r="R480" t="str">
        <f t="shared" si="39"/>
        <v>Week 14</v>
      </c>
    </row>
    <row r="481" spans="1:18" x14ac:dyDescent="0.2">
      <c r="A481" s="11">
        <v>243695</v>
      </c>
      <c r="B481" s="2">
        <v>45386</v>
      </c>
      <c r="C481" t="s">
        <v>65</v>
      </c>
      <c r="D481" t="s">
        <v>66</v>
      </c>
      <c r="E481" t="s">
        <v>20</v>
      </c>
      <c r="F481" t="s">
        <v>21</v>
      </c>
      <c r="G481" t="s">
        <v>22</v>
      </c>
      <c r="H481" t="s">
        <v>67</v>
      </c>
      <c r="I481" t="s">
        <v>709</v>
      </c>
      <c r="J481" t="s">
        <v>40</v>
      </c>
      <c r="K481" t="s">
        <v>76</v>
      </c>
      <c r="L481" t="s">
        <v>70</v>
      </c>
      <c r="M481" t="s">
        <v>710</v>
      </c>
      <c r="N481">
        <f t="shared" si="35"/>
        <v>14</v>
      </c>
      <c r="O481">
        <f t="shared" si="36"/>
        <v>4</v>
      </c>
      <c r="P481" t="str">
        <f t="shared" si="37"/>
        <v>Observed Better</v>
      </c>
      <c r="Q481" t="str">
        <f t="shared" si="38"/>
        <v>April</v>
      </c>
      <c r="R481" t="str">
        <f t="shared" si="39"/>
        <v>Week 14</v>
      </c>
    </row>
    <row r="482" spans="1:18" x14ac:dyDescent="0.2">
      <c r="A482" s="11">
        <v>243696</v>
      </c>
      <c r="B482" s="2">
        <v>45386</v>
      </c>
      <c r="C482" t="s">
        <v>65</v>
      </c>
      <c r="D482" t="s">
        <v>66</v>
      </c>
      <c r="E482" t="s">
        <v>20</v>
      </c>
      <c r="F482" t="s">
        <v>21</v>
      </c>
      <c r="G482" t="s">
        <v>22</v>
      </c>
      <c r="H482" t="s">
        <v>67</v>
      </c>
      <c r="I482" t="s">
        <v>711</v>
      </c>
      <c r="J482" t="s">
        <v>40</v>
      </c>
      <c r="K482" t="s">
        <v>76</v>
      </c>
      <c r="L482" t="s">
        <v>70</v>
      </c>
      <c r="M482" t="s">
        <v>712</v>
      </c>
      <c r="N482">
        <f t="shared" si="35"/>
        <v>14</v>
      </c>
      <c r="O482">
        <f t="shared" si="36"/>
        <v>4</v>
      </c>
      <c r="P482" t="str">
        <f t="shared" si="37"/>
        <v>Observed Better</v>
      </c>
      <c r="Q482" t="str">
        <f t="shared" si="38"/>
        <v>April</v>
      </c>
      <c r="R482" t="str">
        <f t="shared" si="39"/>
        <v>Week 14</v>
      </c>
    </row>
    <row r="483" spans="1:18" x14ac:dyDescent="0.2">
      <c r="A483" s="11">
        <v>243697</v>
      </c>
      <c r="B483" s="2">
        <v>45386</v>
      </c>
      <c r="C483" t="s">
        <v>65</v>
      </c>
      <c r="D483" t="s">
        <v>66</v>
      </c>
      <c r="E483" t="s">
        <v>20</v>
      </c>
      <c r="F483" t="s">
        <v>21</v>
      </c>
      <c r="G483" t="s">
        <v>22</v>
      </c>
      <c r="H483" t="s">
        <v>67</v>
      </c>
      <c r="I483" t="s">
        <v>713</v>
      </c>
      <c r="J483" t="s">
        <v>40</v>
      </c>
      <c r="K483" t="s">
        <v>76</v>
      </c>
      <c r="L483" t="s">
        <v>70</v>
      </c>
      <c r="M483" t="s">
        <v>714</v>
      </c>
      <c r="N483">
        <f t="shared" si="35"/>
        <v>14</v>
      </c>
      <c r="O483">
        <f t="shared" si="36"/>
        <v>4</v>
      </c>
      <c r="P483" t="str">
        <f t="shared" si="37"/>
        <v>Observed Better</v>
      </c>
      <c r="Q483" t="str">
        <f t="shared" si="38"/>
        <v>April</v>
      </c>
      <c r="R483" t="str">
        <f t="shared" si="39"/>
        <v>Week 14</v>
      </c>
    </row>
    <row r="484" spans="1:18" x14ac:dyDescent="0.2">
      <c r="A484" s="11">
        <v>243698</v>
      </c>
      <c r="B484" s="2">
        <v>45386</v>
      </c>
      <c r="C484" t="s">
        <v>65</v>
      </c>
      <c r="D484" t="s">
        <v>66</v>
      </c>
      <c r="E484" t="s">
        <v>20</v>
      </c>
      <c r="F484" t="s">
        <v>21</v>
      </c>
      <c r="G484" t="s">
        <v>22</v>
      </c>
      <c r="H484" t="s">
        <v>67</v>
      </c>
      <c r="I484" t="s">
        <v>715</v>
      </c>
      <c r="J484" t="s">
        <v>40</v>
      </c>
      <c r="K484" t="s">
        <v>76</v>
      </c>
      <c r="L484" t="s">
        <v>70</v>
      </c>
      <c r="M484" t="s">
        <v>716</v>
      </c>
      <c r="N484">
        <f t="shared" si="35"/>
        <v>14</v>
      </c>
      <c r="O484">
        <f t="shared" si="36"/>
        <v>4</v>
      </c>
      <c r="P484" t="str">
        <f t="shared" si="37"/>
        <v>Observed Better</v>
      </c>
      <c r="Q484" t="str">
        <f t="shared" si="38"/>
        <v>April</v>
      </c>
      <c r="R484" t="str">
        <f t="shared" si="39"/>
        <v>Week 14</v>
      </c>
    </row>
    <row r="485" spans="1:18" x14ac:dyDescent="0.2">
      <c r="A485" s="11">
        <v>243699</v>
      </c>
      <c r="B485" s="2">
        <v>45386</v>
      </c>
      <c r="C485" t="s">
        <v>65</v>
      </c>
      <c r="D485" t="s">
        <v>66</v>
      </c>
      <c r="E485" t="s">
        <v>20</v>
      </c>
      <c r="F485" t="s">
        <v>21</v>
      </c>
      <c r="G485" t="s">
        <v>22</v>
      </c>
      <c r="H485" t="s">
        <v>67</v>
      </c>
      <c r="I485" t="s">
        <v>717</v>
      </c>
      <c r="J485" t="s">
        <v>40</v>
      </c>
      <c r="K485" t="s">
        <v>76</v>
      </c>
      <c r="L485" t="s">
        <v>70</v>
      </c>
      <c r="M485" t="s">
        <v>718</v>
      </c>
      <c r="N485">
        <f t="shared" si="35"/>
        <v>14</v>
      </c>
      <c r="O485">
        <f t="shared" si="36"/>
        <v>4</v>
      </c>
      <c r="P485" t="str">
        <f t="shared" si="37"/>
        <v>Observed Better</v>
      </c>
      <c r="Q485" t="str">
        <f t="shared" si="38"/>
        <v>April</v>
      </c>
      <c r="R485" t="str">
        <f t="shared" si="39"/>
        <v>Week 14</v>
      </c>
    </row>
    <row r="486" spans="1:18" x14ac:dyDescent="0.2">
      <c r="A486" s="11">
        <v>243700</v>
      </c>
      <c r="B486" s="2">
        <v>45386</v>
      </c>
      <c r="C486" t="s">
        <v>65</v>
      </c>
      <c r="D486" t="s">
        <v>66</v>
      </c>
      <c r="E486" t="s">
        <v>20</v>
      </c>
      <c r="F486" t="s">
        <v>21</v>
      </c>
      <c r="G486" t="s">
        <v>22</v>
      </c>
      <c r="H486" t="s">
        <v>67</v>
      </c>
      <c r="I486" t="s">
        <v>719</v>
      </c>
      <c r="J486" t="s">
        <v>40</v>
      </c>
      <c r="K486" t="s">
        <v>76</v>
      </c>
      <c r="L486" t="s">
        <v>70</v>
      </c>
      <c r="M486" t="s">
        <v>720</v>
      </c>
      <c r="N486">
        <f t="shared" si="35"/>
        <v>14</v>
      </c>
      <c r="O486">
        <f t="shared" si="36"/>
        <v>4</v>
      </c>
      <c r="P486" t="str">
        <f t="shared" si="37"/>
        <v>Observed Better</v>
      </c>
      <c r="Q486" t="str">
        <f t="shared" si="38"/>
        <v>April</v>
      </c>
      <c r="R486" t="str">
        <f t="shared" si="39"/>
        <v>Week 14</v>
      </c>
    </row>
    <row r="487" spans="1:18" x14ac:dyDescent="0.2">
      <c r="A487" s="11">
        <v>243701</v>
      </c>
      <c r="B487" s="2">
        <v>45386</v>
      </c>
      <c r="C487" t="s">
        <v>65</v>
      </c>
      <c r="D487" t="s">
        <v>66</v>
      </c>
      <c r="E487" t="s">
        <v>11</v>
      </c>
      <c r="F487" t="s">
        <v>134</v>
      </c>
      <c r="G487" t="s">
        <v>135</v>
      </c>
      <c r="H487" t="s">
        <v>67</v>
      </c>
      <c r="I487" t="s">
        <v>721</v>
      </c>
      <c r="J487" t="s">
        <v>39</v>
      </c>
      <c r="K487" t="s">
        <v>244</v>
      </c>
      <c r="L487" t="s">
        <v>70</v>
      </c>
      <c r="N487">
        <f t="shared" si="35"/>
        <v>14</v>
      </c>
      <c r="O487">
        <f t="shared" si="36"/>
        <v>4</v>
      </c>
      <c r="P487" t="str">
        <f t="shared" si="37"/>
        <v>Observed Better</v>
      </c>
      <c r="Q487" t="str">
        <f t="shared" si="38"/>
        <v>April</v>
      </c>
      <c r="R487" t="str">
        <f t="shared" si="39"/>
        <v>Week 14</v>
      </c>
    </row>
    <row r="488" spans="1:18" x14ac:dyDescent="0.2">
      <c r="A488" s="11">
        <v>243702</v>
      </c>
      <c r="B488" s="2">
        <v>45386</v>
      </c>
      <c r="C488" t="s">
        <v>65</v>
      </c>
      <c r="D488" t="s">
        <v>66</v>
      </c>
      <c r="E488" t="s">
        <v>8</v>
      </c>
      <c r="F488" t="s">
        <v>9</v>
      </c>
      <c r="G488" t="s">
        <v>203</v>
      </c>
      <c r="H488" t="s">
        <v>67</v>
      </c>
      <c r="I488" t="s">
        <v>722</v>
      </c>
      <c r="J488" t="s">
        <v>34</v>
      </c>
      <c r="K488" t="s">
        <v>295</v>
      </c>
      <c r="L488" t="s">
        <v>77</v>
      </c>
      <c r="M488" t="s">
        <v>357</v>
      </c>
      <c r="N488">
        <f t="shared" si="35"/>
        <v>14</v>
      </c>
      <c r="O488">
        <f t="shared" si="36"/>
        <v>4</v>
      </c>
      <c r="P488" t="str">
        <f t="shared" si="37"/>
        <v>Provided Guidance</v>
      </c>
      <c r="Q488" t="str">
        <f t="shared" si="38"/>
        <v>April</v>
      </c>
      <c r="R488" t="str">
        <f t="shared" si="39"/>
        <v>Week 14</v>
      </c>
    </row>
    <row r="489" spans="1:18" x14ac:dyDescent="0.2">
      <c r="A489" s="11">
        <v>243703</v>
      </c>
      <c r="B489" s="2">
        <v>45386</v>
      </c>
      <c r="C489" t="s">
        <v>65</v>
      </c>
      <c r="D489" t="s">
        <v>66</v>
      </c>
      <c r="E489" t="s">
        <v>11</v>
      </c>
      <c r="F489" t="s">
        <v>134</v>
      </c>
      <c r="G489" t="s">
        <v>135</v>
      </c>
      <c r="H489" t="s">
        <v>67</v>
      </c>
      <c r="I489" t="s">
        <v>723</v>
      </c>
      <c r="J489" t="s">
        <v>34</v>
      </c>
      <c r="K489" t="s">
        <v>295</v>
      </c>
      <c r="L489" t="s">
        <v>77</v>
      </c>
      <c r="M489" t="s">
        <v>357</v>
      </c>
      <c r="N489">
        <f t="shared" si="35"/>
        <v>14</v>
      </c>
      <c r="O489">
        <f t="shared" si="36"/>
        <v>4</v>
      </c>
      <c r="P489" t="str">
        <f t="shared" si="37"/>
        <v>Provided Guidance</v>
      </c>
      <c r="Q489" t="str">
        <f t="shared" si="38"/>
        <v>April</v>
      </c>
      <c r="R489" t="str">
        <f t="shared" si="39"/>
        <v>Week 14</v>
      </c>
    </row>
    <row r="490" spans="1:18" x14ac:dyDescent="0.2">
      <c r="A490" s="11">
        <v>243705</v>
      </c>
      <c r="B490" s="2">
        <v>45386</v>
      </c>
      <c r="C490" t="s">
        <v>65</v>
      </c>
      <c r="D490" t="s">
        <v>66</v>
      </c>
      <c r="E490" t="s">
        <v>16</v>
      </c>
      <c r="F490" t="s">
        <v>94</v>
      </c>
      <c r="H490" t="s">
        <v>67</v>
      </c>
      <c r="I490" t="s">
        <v>724</v>
      </c>
      <c r="J490" t="s">
        <v>38</v>
      </c>
      <c r="K490" t="s">
        <v>97</v>
      </c>
      <c r="L490" t="s">
        <v>70</v>
      </c>
      <c r="M490" t="s">
        <v>725</v>
      </c>
      <c r="N490">
        <f t="shared" si="35"/>
        <v>14</v>
      </c>
      <c r="O490">
        <f t="shared" si="36"/>
        <v>4</v>
      </c>
      <c r="P490" t="str">
        <f t="shared" si="37"/>
        <v>Observed Better</v>
      </c>
      <c r="Q490" t="str">
        <f t="shared" si="38"/>
        <v>April</v>
      </c>
      <c r="R490" t="str">
        <f t="shared" si="39"/>
        <v>Week 14</v>
      </c>
    </row>
    <row r="491" spans="1:18" x14ac:dyDescent="0.2">
      <c r="A491" s="11">
        <v>243706</v>
      </c>
      <c r="B491" s="2">
        <v>45386</v>
      </c>
      <c r="C491" t="s">
        <v>65</v>
      </c>
      <c r="D491" t="s">
        <v>66</v>
      </c>
      <c r="E491" t="s">
        <v>16</v>
      </c>
      <c r="F491" t="s">
        <v>71</v>
      </c>
      <c r="H491" t="s">
        <v>67</v>
      </c>
      <c r="I491" t="s">
        <v>726</v>
      </c>
      <c r="J491" t="s">
        <v>38</v>
      </c>
      <c r="K491" t="s">
        <v>97</v>
      </c>
      <c r="L491" t="s">
        <v>70</v>
      </c>
      <c r="M491" t="s">
        <v>727</v>
      </c>
      <c r="N491">
        <f t="shared" si="35"/>
        <v>14</v>
      </c>
      <c r="O491">
        <f t="shared" si="36"/>
        <v>4</v>
      </c>
      <c r="P491" t="str">
        <f t="shared" si="37"/>
        <v>Observed Better</v>
      </c>
      <c r="Q491" t="str">
        <f t="shared" si="38"/>
        <v>April</v>
      </c>
      <c r="R491" t="str">
        <f t="shared" si="39"/>
        <v>Week 14</v>
      </c>
    </row>
    <row r="492" spans="1:18" x14ac:dyDescent="0.2">
      <c r="A492" s="11">
        <v>243707</v>
      </c>
      <c r="B492" s="2">
        <v>45386</v>
      </c>
      <c r="C492" t="s">
        <v>65</v>
      </c>
      <c r="D492" t="s">
        <v>66</v>
      </c>
      <c r="E492" t="s">
        <v>16</v>
      </c>
      <c r="F492" t="s">
        <v>227</v>
      </c>
      <c r="H492" t="s">
        <v>67</v>
      </c>
      <c r="I492" t="s">
        <v>728</v>
      </c>
      <c r="J492" t="s">
        <v>38</v>
      </c>
      <c r="K492" t="s">
        <v>97</v>
      </c>
      <c r="L492" t="s">
        <v>70</v>
      </c>
      <c r="M492" t="s">
        <v>729</v>
      </c>
      <c r="N492">
        <f t="shared" si="35"/>
        <v>14</v>
      </c>
      <c r="O492">
        <f t="shared" si="36"/>
        <v>4</v>
      </c>
      <c r="P492" t="str">
        <f t="shared" si="37"/>
        <v>Observed Better</v>
      </c>
      <c r="Q492" t="str">
        <f t="shared" si="38"/>
        <v>April</v>
      </c>
      <c r="R492" t="str">
        <f t="shared" si="39"/>
        <v>Week 14</v>
      </c>
    </row>
    <row r="493" spans="1:18" x14ac:dyDescent="0.2">
      <c r="A493" s="11">
        <v>243708</v>
      </c>
      <c r="B493" s="2">
        <v>45387</v>
      </c>
      <c r="C493" t="s">
        <v>65</v>
      </c>
      <c r="D493" t="s">
        <v>66</v>
      </c>
      <c r="E493" t="s">
        <v>11</v>
      </c>
      <c r="F493" t="s">
        <v>12</v>
      </c>
      <c r="G493" t="s">
        <v>15</v>
      </c>
      <c r="H493" t="s">
        <v>67</v>
      </c>
      <c r="I493" t="s">
        <v>730</v>
      </c>
      <c r="J493" t="s">
        <v>37</v>
      </c>
      <c r="K493" t="s">
        <v>69</v>
      </c>
      <c r="L493" t="s">
        <v>70</v>
      </c>
      <c r="N493">
        <f t="shared" si="35"/>
        <v>14</v>
      </c>
      <c r="O493">
        <f t="shared" si="36"/>
        <v>4</v>
      </c>
      <c r="P493" t="str">
        <f t="shared" si="37"/>
        <v>Observed Better</v>
      </c>
      <c r="Q493" t="str">
        <f t="shared" si="38"/>
        <v>April</v>
      </c>
      <c r="R493" t="str">
        <f t="shared" si="39"/>
        <v>Week 14</v>
      </c>
    </row>
    <row r="494" spans="1:18" x14ac:dyDescent="0.2">
      <c r="A494" s="11">
        <v>243709</v>
      </c>
      <c r="B494" s="2">
        <v>45387</v>
      </c>
      <c r="C494" t="s">
        <v>65</v>
      </c>
      <c r="D494" t="s">
        <v>66</v>
      </c>
      <c r="E494" t="s">
        <v>16</v>
      </c>
      <c r="F494" t="s">
        <v>94</v>
      </c>
      <c r="H494" t="s">
        <v>67</v>
      </c>
      <c r="I494" t="s">
        <v>731</v>
      </c>
      <c r="J494" t="s">
        <v>37</v>
      </c>
      <c r="K494" t="s">
        <v>69</v>
      </c>
      <c r="L494" t="s">
        <v>70</v>
      </c>
      <c r="N494">
        <f t="shared" si="35"/>
        <v>14</v>
      </c>
      <c r="O494">
        <f t="shared" si="36"/>
        <v>4</v>
      </c>
      <c r="P494" t="str">
        <f t="shared" si="37"/>
        <v>Observed Better</v>
      </c>
      <c r="Q494" t="str">
        <f t="shared" si="38"/>
        <v>April</v>
      </c>
      <c r="R494" t="str">
        <f t="shared" si="39"/>
        <v>Week 14</v>
      </c>
    </row>
    <row r="495" spans="1:18" x14ac:dyDescent="0.2">
      <c r="A495" s="11">
        <v>243710</v>
      </c>
      <c r="B495" s="2">
        <v>45387</v>
      </c>
      <c r="C495" t="s">
        <v>65</v>
      </c>
      <c r="D495" t="s">
        <v>66</v>
      </c>
      <c r="E495" t="s">
        <v>20</v>
      </c>
      <c r="F495" t="s">
        <v>10</v>
      </c>
      <c r="G495" t="s">
        <v>23</v>
      </c>
      <c r="H495" t="s">
        <v>67</v>
      </c>
      <c r="I495" t="s">
        <v>732</v>
      </c>
      <c r="J495" t="s">
        <v>41</v>
      </c>
      <c r="K495" t="s">
        <v>92</v>
      </c>
      <c r="L495" t="s">
        <v>70</v>
      </c>
      <c r="M495" t="s">
        <v>733</v>
      </c>
      <c r="N495">
        <f t="shared" si="35"/>
        <v>14</v>
      </c>
      <c r="O495">
        <f t="shared" si="36"/>
        <v>4</v>
      </c>
      <c r="P495" t="str">
        <f t="shared" si="37"/>
        <v>Observed Better</v>
      </c>
      <c r="Q495" t="str">
        <f t="shared" si="38"/>
        <v>April</v>
      </c>
      <c r="R495" t="str">
        <f t="shared" si="39"/>
        <v>Week 14</v>
      </c>
    </row>
    <row r="496" spans="1:18" x14ac:dyDescent="0.2">
      <c r="A496" s="11">
        <v>243711</v>
      </c>
      <c r="B496" s="2">
        <v>45387</v>
      </c>
      <c r="C496" t="s">
        <v>65</v>
      </c>
      <c r="D496" t="s">
        <v>66</v>
      </c>
      <c r="E496" t="s">
        <v>8</v>
      </c>
      <c r="F496" t="s">
        <v>9</v>
      </c>
      <c r="G496" t="s">
        <v>203</v>
      </c>
      <c r="H496" t="s">
        <v>67</v>
      </c>
      <c r="I496" t="s">
        <v>734</v>
      </c>
      <c r="J496" t="s">
        <v>41</v>
      </c>
      <c r="K496" t="s">
        <v>92</v>
      </c>
      <c r="L496" t="s">
        <v>77</v>
      </c>
      <c r="M496" t="s">
        <v>735</v>
      </c>
      <c r="N496">
        <f t="shared" si="35"/>
        <v>14</v>
      </c>
      <c r="O496">
        <f t="shared" si="36"/>
        <v>4</v>
      </c>
      <c r="P496" t="str">
        <f t="shared" si="37"/>
        <v>Provided Guidance</v>
      </c>
      <c r="Q496" t="str">
        <f t="shared" si="38"/>
        <v>April</v>
      </c>
      <c r="R496" t="str">
        <f t="shared" si="39"/>
        <v>Week 14</v>
      </c>
    </row>
    <row r="497" spans="1:18" x14ac:dyDescent="0.2">
      <c r="A497" s="11">
        <v>243712</v>
      </c>
      <c r="B497" s="2">
        <v>45387</v>
      </c>
      <c r="C497" t="s">
        <v>65</v>
      </c>
      <c r="D497" t="s">
        <v>66</v>
      </c>
      <c r="E497" t="s">
        <v>16</v>
      </c>
      <c r="F497" t="s">
        <v>94</v>
      </c>
      <c r="H497" t="s">
        <v>67</v>
      </c>
      <c r="I497" t="s">
        <v>736</v>
      </c>
      <c r="J497" t="s">
        <v>35</v>
      </c>
      <c r="K497" t="s">
        <v>241</v>
      </c>
      <c r="L497" t="s">
        <v>70</v>
      </c>
      <c r="N497">
        <f t="shared" si="35"/>
        <v>14</v>
      </c>
      <c r="O497">
        <f t="shared" si="36"/>
        <v>4</v>
      </c>
      <c r="P497" t="str">
        <f t="shared" si="37"/>
        <v>Observed Better</v>
      </c>
      <c r="Q497" t="str">
        <f t="shared" si="38"/>
        <v>April</v>
      </c>
      <c r="R497" t="str">
        <f t="shared" si="39"/>
        <v>Week 14</v>
      </c>
    </row>
    <row r="498" spans="1:18" x14ac:dyDescent="0.2">
      <c r="A498" s="11">
        <v>243713</v>
      </c>
      <c r="B498" s="2">
        <v>45387</v>
      </c>
      <c r="C498" t="s">
        <v>65</v>
      </c>
      <c r="D498" t="s">
        <v>66</v>
      </c>
      <c r="E498" t="s">
        <v>11</v>
      </c>
      <c r="F498" t="s">
        <v>134</v>
      </c>
      <c r="G498" t="s">
        <v>370</v>
      </c>
      <c r="H498" t="s">
        <v>67</v>
      </c>
      <c r="I498" t="s">
        <v>737</v>
      </c>
      <c r="J498" t="s">
        <v>35</v>
      </c>
      <c r="K498" t="s">
        <v>241</v>
      </c>
      <c r="L498" t="s">
        <v>70</v>
      </c>
      <c r="N498">
        <f t="shared" si="35"/>
        <v>14</v>
      </c>
      <c r="O498">
        <f t="shared" si="36"/>
        <v>4</v>
      </c>
      <c r="P498" t="str">
        <f t="shared" si="37"/>
        <v>Observed Better</v>
      </c>
      <c r="Q498" t="str">
        <f t="shared" si="38"/>
        <v>April</v>
      </c>
      <c r="R498" t="str">
        <f t="shared" si="39"/>
        <v>Week 14</v>
      </c>
    </row>
    <row r="499" spans="1:18" x14ac:dyDescent="0.2">
      <c r="A499" s="11">
        <v>243714</v>
      </c>
      <c r="B499" s="2">
        <v>45387</v>
      </c>
      <c r="C499" t="s">
        <v>65</v>
      </c>
      <c r="D499" t="s">
        <v>66</v>
      </c>
      <c r="E499" t="s">
        <v>16</v>
      </c>
      <c r="F499" t="s">
        <v>162</v>
      </c>
      <c r="H499" t="s">
        <v>67</v>
      </c>
      <c r="I499" t="s">
        <v>738</v>
      </c>
      <c r="J499" t="s">
        <v>35</v>
      </c>
      <c r="K499" t="s">
        <v>241</v>
      </c>
      <c r="L499" t="s">
        <v>70</v>
      </c>
      <c r="N499">
        <f t="shared" si="35"/>
        <v>14</v>
      </c>
      <c r="O499">
        <f t="shared" si="36"/>
        <v>4</v>
      </c>
      <c r="P499" t="str">
        <f t="shared" si="37"/>
        <v>Observed Better</v>
      </c>
      <c r="Q499" t="str">
        <f t="shared" si="38"/>
        <v>April</v>
      </c>
      <c r="R499" t="str">
        <f t="shared" si="39"/>
        <v>Week 14</v>
      </c>
    </row>
    <row r="500" spans="1:18" x14ac:dyDescent="0.2">
      <c r="A500" s="11">
        <v>243715</v>
      </c>
      <c r="B500" s="2">
        <v>45387</v>
      </c>
      <c r="C500" t="s">
        <v>65</v>
      </c>
      <c r="D500" t="s">
        <v>66</v>
      </c>
      <c r="E500" t="s">
        <v>11</v>
      </c>
      <c r="F500" t="s">
        <v>363</v>
      </c>
      <c r="G500" t="s">
        <v>364</v>
      </c>
      <c r="H500" t="s">
        <v>67</v>
      </c>
      <c r="I500" t="s">
        <v>739</v>
      </c>
      <c r="J500" t="s">
        <v>37</v>
      </c>
      <c r="K500" t="s">
        <v>69</v>
      </c>
      <c r="L500" t="s">
        <v>70</v>
      </c>
      <c r="N500">
        <f t="shared" si="35"/>
        <v>14</v>
      </c>
      <c r="O500">
        <f t="shared" si="36"/>
        <v>4</v>
      </c>
      <c r="P500" t="str">
        <f t="shared" si="37"/>
        <v>Observed Better</v>
      </c>
      <c r="Q500" t="str">
        <f t="shared" si="38"/>
        <v>April</v>
      </c>
      <c r="R500" t="str">
        <f t="shared" si="39"/>
        <v>Week 14</v>
      </c>
    </row>
    <row r="501" spans="1:18" x14ac:dyDescent="0.2">
      <c r="A501" s="11">
        <v>243716</v>
      </c>
      <c r="B501" s="2">
        <v>45387</v>
      </c>
      <c r="C501" t="s">
        <v>65</v>
      </c>
      <c r="D501" t="s">
        <v>66</v>
      </c>
      <c r="E501" t="s">
        <v>8</v>
      </c>
      <c r="F501" t="s">
        <v>9</v>
      </c>
      <c r="G501" t="s">
        <v>528</v>
      </c>
      <c r="H501" t="s">
        <v>67</v>
      </c>
      <c r="I501" t="s">
        <v>740</v>
      </c>
      <c r="J501" t="s">
        <v>39</v>
      </c>
      <c r="K501" t="s">
        <v>244</v>
      </c>
      <c r="L501" t="s">
        <v>77</v>
      </c>
      <c r="N501">
        <f t="shared" si="35"/>
        <v>14</v>
      </c>
      <c r="O501">
        <f t="shared" si="36"/>
        <v>4</v>
      </c>
      <c r="P501" t="str">
        <f t="shared" si="37"/>
        <v>Provided Guidance</v>
      </c>
      <c r="Q501" t="str">
        <f t="shared" si="38"/>
        <v>April</v>
      </c>
      <c r="R501" t="str">
        <f t="shared" si="39"/>
        <v>Week 14</v>
      </c>
    </row>
    <row r="502" spans="1:18" x14ac:dyDescent="0.2">
      <c r="A502" s="11">
        <v>243719</v>
      </c>
      <c r="B502" s="2">
        <v>45387</v>
      </c>
      <c r="C502" t="s">
        <v>65</v>
      </c>
      <c r="D502" t="s">
        <v>66</v>
      </c>
      <c r="E502" t="s">
        <v>16</v>
      </c>
      <c r="F502" t="s">
        <v>162</v>
      </c>
      <c r="H502" t="s">
        <v>67</v>
      </c>
      <c r="I502" t="s">
        <v>741</v>
      </c>
      <c r="J502" t="s">
        <v>455</v>
      </c>
      <c r="K502" t="s">
        <v>456</v>
      </c>
      <c r="L502" t="s">
        <v>70</v>
      </c>
      <c r="N502">
        <f t="shared" si="35"/>
        <v>14</v>
      </c>
      <c r="O502">
        <f t="shared" si="36"/>
        <v>4</v>
      </c>
      <c r="P502" t="str">
        <f t="shared" si="37"/>
        <v>Observed Better</v>
      </c>
      <c r="Q502" t="str">
        <f t="shared" si="38"/>
        <v>April</v>
      </c>
      <c r="R502" t="str">
        <f t="shared" si="39"/>
        <v>Week 14</v>
      </c>
    </row>
    <row r="503" spans="1:18" x14ac:dyDescent="0.2">
      <c r="A503" s="11">
        <v>243720</v>
      </c>
      <c r="B503" s="2">
        <v>45387</v>
      </c>
      <c r="C503" t="s">
        <v>65</v>
      </c>
      <c r="D503" t="s">
        <v>66</v>
      </c>
      <c r="E503" t="s">
        <v>16</v>
      </c>
      <c r="F503" t="s">
        <v>162</v>
      </c>
      <c r="H503" t="s">
        <v>67</v>
      </c>
      <c r="I503" t="s">
        <v>741</v>
      </c>
      <c r="J503" t="s">
        <v>455</v>
      </c>
      <c r="K503" t="s">
        <v>456</v>
      </c>
      <c r="L503" t="s">
        <v>70</v>
      </c>
      <c r="N503">
        <f t="shared" si="35"/>
        <v>14</v>
      </c>
      <c r="O503">
        <f t="shared" si="36"/>
        <v>4</v>
      </c>
      <c r="P503" t="str">
        <f t="shared" si="37"/>
        <v>Observed Better</v>
      </c>
      <c r="Q503" t="str">
        <f t="shared" si="38"/>
        <v>April</v>
      </c>
      <c r="R503" t="str">
        <f t="shared" si="39"/>
        <v>Week 14</v>
      </c>
    </row>
    <row r="504" spans="1:18" x14ac:dyDescent="0.2">
      <c r="A504" s="11">
        <v>243721</v>
      </c>
      <c r="B504" s="2">
        <v>45387</v>
      </c>
      <c r="C504" t="s">
        <v>65</v>
      </c>
      <c r="D504" t="s">
        <v>66</v>
      </c>
      <c r="E504" t="s">
        <v>11</v>
      </c>
      <c r="F504" t="s">
        <v>131</v>
      </c>
      <c r="G504" t="s">
        <v>11</v>
      </c>
      <c r="H504" t="s">
        <v>67</v>
      </c>
      <c r="I504" t="s">
        <v>742</v>
      </c>
      <c r="J504" t="s">
        <v>455</v>
      </c>
      <c r="K504" t="s">
        <v>456</v>
      </c>
      <c r="L504" t="s">
        <v>70</v>
      </c>
      <c r="M504" t="s">
        <v>743</v>
      </c>
      <c r="N504">
        <f t="shared" si="35"/>
        <v>14</v>
      </c>
      <c r="O504">
        <f t="shared" si="36"/>
        <v>4</v>
      </c>
      <c r="P504" t="str">
        <f t="shared" si="37"/>
        <v>Observed Better</v>
      </c>
      <c r="Q504" t="str">
        <f t="shared" si="38"/>
        <v>April</v>
      </c>
      <c r="R504" t="str">
        <f t="shared" si="39"/>
        <v>Week 14</v>
      </c>
    </row>
    <row r="505" spans="1:18" x14ac:dyDescent="0.2">
      <c r="A505" s="11">
        <v>243722</v>
      </c>
      <c r="B505" s="2">
        <v>45387</v>
      </c>
      <c r="C505" t="s">
        <v>65</v>
      </c>
      <c r="D505" t="s">
        <v>66</v>
      </c>
      <c r="E505" t="s">
        <v>11</v>
      </c>
      <c r="F505" t="s">
        <v>131</v>
      </c>
      <c r="G505" t="s">
        <v>11</v>
      </c>
      <c r="H505" t="s">
        <v>67</v>
      </c>
      <c r="I505" t="s">
        <v>742</v>
      </c>
      <c r="J505" t="s">
        <v>455</v>
      </c>
      <c r="K505" t="s">
        <v>456</v>
      </c>
      <c r="L505" t="s">
        <v>70</v>
      </c>
      <c r="M505" t="s">
        <v>743</v>
      </c>
      <c r="N505">
        <f t="shared" si="35"/>
        <v>14</v>
      </c>
      <c r="O505">
        <f t="shared" si="36"/>
        <v>4</v>
      </c>
      <c r="P505" t="str">
        <f t="shared" si="37"/>
        <v>Observed Better</v>
      </c>
      <c r="Q505" t="str">
        <f t="shared" si="38"/>
        <v>April</v>
      </c>
      <c r="R505" t="str">
        <f t="shared" si="39"/>
        <v>Week 14</v>
      </c>
    </row>
    <row r="506" spans="1:18" x14ac:dyDescent="0.2">
      <c r="A506" s="11">
        <v>243723</v>
      </c>
      <c r="B506" s="2">
        <v>45387</v>
      </c>
      <c r="C506" t="s">
        <v>65</v>
      </c>
      <c r="D506" t="s">
        <v>66</v>
      </c>
      <c r="E506" t="s">
        <v>16</v>
      </c>
      <c r="F506" t="s">
        <v>17</v>
      </c>
      <c r="H506" t="s">
        <v>67</v>
      </c>
      <c r="I506" t="s">
        <v>744</v>
      </c>
      <c r="J506" t="s">
        <v>455</v>
      </c>
      <c r="K506" t="s">
        <v>456</v>
      </c>
      <c r="L506" t="s">
        <v>77</v>
      </c>
      <c r="M506" t="s">
        <v>745</v>
      </c>
      <c r="N506">
        <f t="shared" si="35"/>
        <v>14</v>
      </c>
      <c r="O506">
        <f t="shared" si="36"/>
        <v>4</v>
      </c>
      <c r="P506" t="str">
        <f t="shared" si="37"/>
        <v>Provided Guidance</v>
      </c>
      <c r="Q506" t="str">
        <f t="shared" si="38"/>
        <v>April</v>
      </c>
      <c r="R506" t="str">
        <f t="shared" si="39"/>
        <v>Week 14</v>
      </c>
    </row>
    <row r="507" spans="1:18" x14ac:dyDescent="0.2">
      <c r="A507" s="11">
        <v>243724</v>
      </c>
      <c r="B507" s="2">
        <v>45387</v>
      </c>
      <c r="C507" t="s">
        <v>65</v>
      </c>
      <c r="D507" t="s">
        <v>66</v>
      </c>
      <c r="E507" t="s">
        <v>16</v>
      </c>
      <c r="F507" t="s">
        <v>17</v>
      </c>
      <c r="H507" t="s">
        <v>67</v>
      </c>
      <c r="I507" t="s">
        <v>744</v>
      </c>
      <c r="J507" t="s">
        <v>455</v>
      </c>
      <c r="K507" t="s">
        <v>456</v>
      </c>
      <c r="L507" t="s">
        <v>77</v>
      </c>
      <c r="M507" t="s">
        <v>745</v>
      </c>
      <c r="N507">
        <f t="shared" si="35"/>
        <v>14</v>
      </c>
      <c r="O507">
        <f t="shared" si="36"/>
        <v>4</v>
      </c>
      <c r="P507" t="str">
        <f t="shared" si="37"/>
        <v>Provided Guidance</v>
      </c>
      <c r="Q507" t="str">
        <f t="shared" si="38"/>
        <v>April</v>
      </c>
      <c r="R507" t="str">
        <f t="shared" si="39"/>
        <v>Week 14</v>
      </c>
    </row>
    <row r="508" spans="1:18" x14ac:dyDescent="0.2">
      <c r="A508" s="11">
        <v>243725</v>
      </c>
      <c r="B508" s="2">
        <v>45387</v>
      </c>
      <c r="C508" t="s">
        <v>65</v>
      </c>
      <c r="D508" t="s">
        <v>66</v>
      </c>
      <c r="E508" t="s">
        <v>20</v>
      </c>
      <c r="F508" t="s">
        <v>21</v>
      </c>
      <c r="G508" t="s">
        <v>22</v>
      </c>
      <c r="H508" t="s">
        <v>67</v>
      </c>
      <c r="I508" t="s">
        <v>746</v>
      </c>
      <c r="J508" t="s">
        <v>43</v>
      </c>
      <c r="K508" t="s">
        <v>141</v>
      </c>
      <c r="L508" t="s">
        <v>70</v>
      </c>
      <c r="N508">
        <f t="shared" si="35"/>
        <v>14</v>
      </c>
      <c r="O508">
        <f t="shared" si="36"/>
        <v>4</v>
      </c>
      <c r="P508" t="str">
        <f t="shared" si="37"/>
        <v>Observed Better</v>
      </c>
      <c r="Q508" t="str">
        <f t="shared" si="38"/>
        <v>April</v>
      </c>
      <c r="R508" t="str">
        <f t="shared" si="39"/>
        <v>Week 14</v>
      </c>
    </row>
    <row r="509" spans="1:18" x14ac:dyDescent="0.2">
      <c r="A509" s="11">
        <v>243726</v>
      </c>
      <c r="B509" s="2">
        <v>45387</v>
      </c>
      <c r="C509" t="s">
        <v>65</v>
      </c>
      <c r="D509" t="s">
        <v>66</v>
      </c>
      <c r="E509" t="s">
        <v>20</v>
      </c>
      <c r="F509" t="s">
        <v>21</v>
      </c>
      <c r="G509" t="s">
        <v>73</v>
      </c>
      <c r="H509" t="s">
        <v>67</v>
      </c>
      <c r="I509" t="s">
        <v>747</v>
      </c>
      <c r="J509" t="s">
        <v>43</v>
      </c>
      <c r="K509" t="s">
        <v>141</v>
      </c>
      <c r="L509" t="s">
        <v>70</v>
      </c>
      <c r="N509">
        <f t="shared" si="35"/>
        <v>14</v>
      </c>
      <c r="O509">
        <f t="shared" si="36"/>
        <v>4</v>
      </c>
      <c r="P509" t="str">
        <f t="shared" si="37"/>
        <v>Observed Better</v>
      </c>
      <c r="Q509" t="str">
        <f t="shared" si="38"/>
        <v>April</v>
      </c>
      <c r="R509" t="str">
        <f t="shared" si="39"/>
        <v>Week 14</v>
      </c>
    </row>
    <row r="510" spans="1:18" x14ac:dyDescent="0.2">
      <c r="A510" s="11">
        <v>243727</v>
      </c>
      <c r="B510" s="2">
        <v>45387</v>
      </c>
      <c r="C510" t="s">
        <v>65</v>
      </c>
      <c r="D510" t="s">
        <v>66</v>
      </c>
      <c r="E510" t="s">
        <v>20</v>
      </c>
      <c r="F510" t="s">
        <v>21</v>
      </c>
      <c r="G510" t="s">
        <v>22</v>
      </c>
      <c r="H510" t="s">
        <v>67</v>
      </c>
      <c r="I510" t="s">
        <v>748</v>
      </c>
      <c r="J510" t="s">
        <v>43</v>
      </c>
      <c r="K510" t="s">
        <v>141</v>
      </c>
      <c r="L510" t="s">
        <v>70</v>
      </c>
      <c r="N510">
        <f t="shared" si="35"/>
        <v>14</v>
      </c>
      <c r="O510">
        <f t="shared" si="36"/>
        <v>4</v>
      </c>
      <c r="P510" t="str">
        <f t="shared" si="37"/>
        <v>Observed Better</v>
      </c>
      <c r="Q510" t="str">
        <f t="shared" si="38"/>
        <v>April</v>
      </c>
      <c r="R510" t="str">
        <f t="shared" si="39"/>
        <v>Week 14</v>
      </c>
    </row>
    <row r="511" spans="1:18" x14ac:dyDescent="0.2">
      <c r="A511" s="11">
        <v>243728</v>
      </c>
      <c r="B511" s="2">
        <v>45389</v>
      </c>
      <c r="C511" t="s">
        <v>65</v>
      </c>
      <c r="D511" t="s">
        <v>66</v>
      </c>
      <c r="E511" t="s">
        <v>20</v>
      </c>
      <c r="F511" t="s">
        <v>21</v>
      </c>
      <c r="G511" t="s">
        <v>22</v>
      </c>
      <c r="H511" t="s">
        <v>67</v>
      </c>
      <c r="I511" t="s">
        <v>749</v>
      </c>
      <c r="J511" t="s">
        <v>115</v>
      </c>
      <c r="K511" t="s">
        <v>116</v>
      </c>
      <c r="L511" t="s">
        <v>70</v>
      </c>
      <c r="N511">
        <f t="shared" si="35"/>
        <v>15</v>
      </c>
      <c r="O511">
        <f t="shared" si="36"/>
        <v>4</v>
      </c>
      <c r="P511" t="str">
        <f t="shared" si="37"/>
        <v>Observed Better</v>
      </c>
      <c r="Q511" t="str">
        <f t="shared" si="38"/>
        <v>April</v>
      </c>
      <c r="R511" t="str">
        <f t="shared" si="39"/>
        <v>Week 15</v>
      </c>
    </row>
    <row r="512" spans="1:18" x14ac:dyDescent="0.2">
      <c r="A512" s="11">
        <v>243729</v>
      </c>
      <c r="B512" s="2">
        <v>45389</v>
      </c>
      <c r="C512" t="s">
        <v>65</v>
      </c>
      <c r="D512" t="s">
        <v>66</v>
      </c>
      <c r="E512" t="s">
        <v>8</v>
      </c>
      <c r="F512" t="s">
        <v>9</v>
      </c>
      <c r="G512" t="s">
        <v>11</v>
      </c>
      <c r="H512" t="s">
        <v>67</v>
      </c>
      <c r="I512" t="s">
        <v>750</v>
      </c>
      <c r="J512" t="s">
        <v>115</v>
      </c>
      <c r="K512" t="s">
        <v>116</v>
      </c>
      <c r="L512" t="s">
        <v>70</v>
      </c>
      <c r="N512">
        <f t="shared" si="35"/>
        <v>15</v>
      </c>
      <c r="O512">
        <f t="shared" si="36"/>
        <v>4</v>
      </c>
      <c r="P512" t="str">
        <f t="shared" si="37"/>
        <v>Observed Better</v>
      </c>
      <c r="Q512" t="str">
        <f t="shared" si="38"/>
        <v>April</v>
      </c>
      <c r="R512" t="str">
        <f t="shared" si="39"/>
        <v>Week 15</v>
      </c>
    </row>
    <row r="513" spans="1:18" x14ac:dyDescent="0.2">
      <c r="A513" s="11">
        <v>243730</v>
      </c>
      <c r="B513" s="2">
        <v>45389</v>
      </c>
      <c r="C513" t="s">
        <v>65</v>
      </c>
      <c r="D513" t="s">
        <v>66</v>
      </c>
      <c r="E513" t="s">
        <v>11</v>
      </c>
      <c r="F513" t="s">
        <v>134</v>
      </c>
      <c r="G513" t="s">
        <v>135</v>
      </c>
      <c r="H513" t="s">
        <v>67</v>
      </c>
      <c r="I513" t="s">
        <v>751</v>
      </c>
      <c r="J513" t="s">
        <v>115</v>
      </c>
      <c r="K513" t="s">
        <v>116</v>
      </c>
      <c r="L513" t="s">
        <v>70</v>
      </c>
      <c r="N513">
        <f t="shared" si="35"/>
        <v>15</v>
      </c>
      <c r="O513">
        <f t="shared" si="36"/>
        <v>4</v>
      </c>
      <c r="P513" t="str">
        <f t="shared" si="37"/>
        <v>Observed Better</v>
      </c>
      <c r="Q513" t="str">
        <f t="shared" si="38"/>
        <v>April</v>
      </c>
      <c r="R513" t="str">
        <f t="shared" si="39"/>
        <v>Week 15</v>
      </c>
    </row>
    <row r="514" spans="1:18" x14ac:dyDescent="0.2">
      <c r="A514" s="11">
        <v>243731</v>
      </c>
      <c r="B514" s="2">
        <v>45389</v>
      </c>
      <c r="C514" t="s">
        <v>65</v>
      </c>
      <c r="D514" t="s">
        <v>66</v>
      </c>
      <c r="E514" t="s">
        <v>11</v>
      </c>
      <c r="F514" t="s">
        <v>363</v>
      </c>
      <c r="G514" t="s">
        <v>364</v>
      </c>
      <c r="H514" t="s">
        <v>67</v>
      </c>
      <c r="I514" t="s">
        <v>752</v>
      </c>
      <c r="J514" t="s">
        <v>222</v>
      </c>
      <c r="K514" t="s">
        <v>223</v>
      </c>
      <c r="L514" t="s">
        <v>70</v>
      </c>
      <c r="M514" t="s">
        <v>753</v>
      </c>
      <c r="N514">
        <f t="shared" ref="N514:N577" si="40">IF(ISBLANK(B514)," ",WEEKNUM(B514))</f>
        <v>15</v>
      </c>
      <c r="O514">
        <f t="shared" ref="O514:O577" si="41">IF(ISBLANK(B514)," ",MONTH(B514))</f>
        <v>4</v>
      </c>
      <c r="P514" t="str">
        <f t="shared" ref="P514:P577" si="42">IF(ISNUMBER(SEARCH("provided",L514)),"Provided Guidance","Observed Better")</f>
        <v>Observed Better</v>
      </c>
      <c r="Q514" t="str">
        <f t="shared" ref="Q514:Q577" si="43">IF(O514=" "," ",TEXT(O514*29,"mmmm"))</f>
        <v>April</v>
      </c>
      <c r="R514" t="str">
        <f t="shared" ref="R514:R577" si="44">IF(N514=" "," ",_xlfn.CONCAT("Week ",+TEXT(N514,"0")))</f>
        <v>Week 15</v>
      </c>
    </row>
    <row r="515" spans="1:18" x14ac:dyDescent="0.2">
      <c r="A515" s="11">
        <v>243732</v>
      </c>
      <c r="B515" s="2">
        <v>45389</v>
      </c>
      <c r="C515" t="s">
        <v>65</v>
      </c>
      <c r="D515" t="s">
        <v>66</v>
      </c>
      <c r="E515" t="s">
        <v>16</v>
      </c>
      <c r="F515" t="s">
        <v>227</v>
      </c>
      <c r="H515" t="s">
        <v>67</v>
      </c>
      <c r="I515" t="s">
        <v>754</v>
      </c>
      <c r="J515" t="s">
        <v>222</v>
      </c>
      <c r="K515" t="s">
        <v>223</v>
      </c>
      <c r="L515" t="s">
        <v>77</v>
      </c>
      <c r="M515" t="s">
        <v>755</v>
      </c>
      <c r="N515">
        <f t="shared" si="40"/>
        <v>15</v>
      </c>
      <c r="O515">
        <f t="shared" si="41"/>
        <v>4</v>
      </c>
      <c r="P515" t="str">
        <f t="shared" si="42"/>
        <v>Provided Guidance</v>
      </c>
      <c r="Q515" t="str">
        <f t="shared" si="43"/>
        <v>April</v>
      </c>
      <c r="R515" t="str">
        <f t="shared" si="44"/>
        <v>Week 15</v>
      </c>
    </row>
    <row r="516" spans="1:18" x14ac:dyDescent="0.2">
      <c r="A516" s="11">
        <v>243733</v>
      </c>
      <c r="B516" s="2">
        <v>45389</v>
      </c>
      <c r="C516" t="s">
        <v>65</v>
      </c>
      <c r="D516" t="s">
        <v>66</v>
      </c>
      <c r="E516" t="s">
        <v>16</v>
      </c>
      <c r="F516" t="s">
        <v>162</v>
      </c>
      <c r="H516" t="s">
        <v>67</v>
      </c>
      <c r="I516" t="s">
        <v>756</v>
      </c>
      <c r="J516" t="s">
        <v>222</v>
      </c>
      <c r="K516" t="s">
        <v>223</v>
      </c>
      <c r="L516" t="s">
        <v>70</v>
      </c>
      <c r="M516" t="s">
        <v>757</v>
      </c>
      <c r="N516">
        <f t="shared" si="40"/>
        <v>15</v>
      </c>
      <c r="O516">
        <f t="shared" si="41"/>
        <v>4</v>
      </c>
      <c r="P516" t="str">
        <f t="shared" si="42"/>
        <v>Observed Better</v>
      </c>
      <c r="Q516" t="str">
        <f t="shared" si="43"/>
        <v>April</v>
      </c>
      <c r="R516" t="str">
        <f t="shared" si="44"/>
        <v>Week 15</v>
      </c>
    </row>
    <row r="517" spans="1:18" x14ac:dyDescent="0.2">
      <c r="A517" s="11">
        <v>243737</v>
      </c>
      <c r="B517" s="2">
        <v>45390</v>
      </c>
      <c r="C517" t="s">
        <v>65</v>
      </c>
      <c r="D517" t="s">
        <v>66</v>
      </c>
      <c r="E517" t="s">
        <v>16</v>
      </c>
      <c r="F517" t="s">
        <v>227</v>
      </c>
      <c r="H517" t="s">
        <v>67</v>
      </c>
      <c r="I517" t="s">
        <v>758</v>
      </c>
      <c r="J517" t="s">
        <v>759</v>
      </c>
      <c r="K517" t="s">
        <v>760</v>
      </c>
      <c r="L517" t="s">
        <v>70</v>
      </c>
      <c r="N517">
        <f t="shared" si="40"/>
        <v>15</v>
      </c>
      <c r="O517">
        <f t="shared" si="41"/>
        <v>4</v>
      </c>
      <c r="P517" t="str">
        <f t="shared" si="42"/>
        <v>Observed Better</v>
      </c>
      <c r="Q517" t="str">
        <f t="shared" si="43"/>
        <v>April</v>
      </c>
      <c r="R517" t="str">
        <f t="shared" si="44"/>
        <v>Week 15</v>
      </c>
    </row>
    <row r="518" spans="1:18" x14ac:dyDescent="0.2">
      <c r="A518" s="11">
        <v>243738</v>
      </c>
      <c r="B518" s="2">
        <v>45390</v>
      </c>
      <c r="C518" t="s">
        <v>65</v>
      </c>
      <c r="D518" t="s">
        <v>66</v>
      </c>
      <c r="E518" t="s">
        <v>16</v>
      </c>
      <c r="F518" t="s">
        <v>227</v>
      </c>
      <c r="H518" t="s">
        <v>67</v>
      </c>
      <c r="I518" t="s">
        <v>761</v>
      </c>
      <c r="J518" t="s">
        <v>759</v>
      </c>
      <c r="K518" t="s">
        <v>760</v>
      </c>
      <c r="L518" t="s">
        <v>77</v>
      </c>
      <c r="N518">
        <f t="shared" si="40"/>
        <v>15</v>
      </c>
      <c r="O518">
        <f t="shared" si="41"/>
        <v>4</v>
      </c>
      <c r="P518" t="str">
        <f t="shared" si="42"/>
        <v>Provided Guidance</v>
      </c>
      <c r="Q518" t="str">
        <f t="shared" si="43"/>
        <v>April</v>
      </c>
      <c r="R518" t="str">
        <f t="shared" si="44"/>
        <v>Week 15</v>
      </c>
    </row>
    <row r="519" spans="1:18" x14ac:dyDescent="0.2">
      <c r="A519" s="11">
        <v>243739</v>
      </c>
      <c r="B519" s="2">
        <v>45390</v>
      </c>
      <c r="C519" t="s">
        <v>65</v>
      </c>
      <c r="D519" t="s">
        <v>66</v>
      </c>
      <c r="E519" t="s">
        <v>16</v>
      </c>
      <c r="F519" t="s">
        <v>227</v>
      </c>
      <c r="H519" t="s">
        <v>67</v>
      </c>
      <c r="I519" t="s">
        <v>762</v>
      </c>
      <c r="J519" t="s">
        <v>759</v>
      </c>
      <c r="K519" t="s">
        <v>760</v>
      </c>
      <c r="L519" t="s">
        <v>77</v>
      </c>
      <c r="N519">
        <f t="shared" si="40"/>
        <v>15</v>
      </c>
      <c r="O519">
        <f t="shared" si="41"/>
        <v>4</v>
      </c>
      <c r="P519" t="str">
        <f t="shared" si="42"/>
        <v>Provided Guidance</v>
      </c>
      <c r="Q519" t="str">
        <f t="shared" si="43"/>
        <v>April</v>
      </c>
      <c r="R519" t="str">
        <f t="shared" si="44"/>
        <v>Week 15</v>
      </c>
    </row>
    <row r="520" spans="1:18" x14ac:dyDescent="0.2">
      <c r="A520" s="11">
        <v>243740</v>
      </c>
      <c r="B520" s="2">
        <v>45390</v>
      </c>
      <c r="C520" t="s">
        <v>65</v>
      </c>
      <c r="D520" t="s">
        <v>66</v>
      </c>
      <c r="E520" t="s">
        <v>16</v>
      </c>
      <c r="F520" t="s">
        <v>227</v>
      </c>
      <c r="H520" t="s">
        <v>67</v>
      </c>
      <c r="I520" t="s">
        <v>763</v>
      </c>
      <c r="J520" t="s">
        <v>759</v>
      </c>
      <c r="K520" t="s">
        <v>760</v>
      </c>
      <c r="L520" t="s">
        <v>77</v>
      </c>
      <c r="N520">
        <f t="shared" si="40"/>
        <v>15</v>
      </c>
      <c r="O520">
        <f t="shared" si="41"/>
        <v>4</v>
      </c>
      <c r="P520" t="str">
        <f t="shared" si="42"/>
        <v>Provided Guidance</v>
      </c>
      <c r="Q520" t="str">
        <f t="shared" si="43"/>
        <v>April</v>
      </c>
      <c r="R520" t="str">
        <f t="shared" si="44"/>
        <v>Week 15</v>
      </c>
    </row>
    <row r="521" spans="1:18" x14ac:dyDescent="0.2">
      <c r="A521" s="11">
        <v>243741</v>
      </c>
      <c r="B521" s="2">
        <v>45390</v>
      </c>
      <c r="C521" t="s">
        <v>65</v>
      </c>
      <c r="D521" t="s">
        <v>66</v>
      </c>
      <c r="E521" t="s">
        <v>16</v>
      </c>
      <c r="F521" t="s">
        <v>227</v>
      </c>
      <c r="H521" t="s">
        <v>67</v>
      </c>
      <c r="I521" t="s">
        <v>764</v>
      </c>
      <c r="J521" t="s">
        <v>759</v>
      </c>
      <c r="K521" t="s">
        <v>760</v>
      </c>
      <c r="L521" t="s">
        <v>70</v>
      </c>
      <c r="N521">
        <f t="shared" si="40"/>
        <v>15</v>
      </c>
      <c r="O521">
        <f t="shared" si="41"/>
        <v>4</v>
      </c>
      <c r="P521" t="str">
        <f t="shared" si="42"/>
        <v>Observed Better</v>
      </c>
      <c r="Q521" t="str">
        <f t="shared" si="43"/>
        <v>April</v>
      </c>
      <c r="R521" t="str">
        <f t="shared" si="44"/>
        <v>Week 15</v>
      </c>
    </row>
    <row r="522" spans="1:18" x14ac:dyDescent="0.2">
      <c r="A522" s="11">
        <v>243742</v>
      </c>
      <c r="B522" s="2">
        <v>45391</v>
      </c>
      <c r="C522" t="s">
        <v>65</v>
      </c>
      <c r="D522" t="s">
        <v>66</v>
      </c>
      <c r="E522" t="s">
        <v>16</v>
      </c>
      <c r="F522" t="s">
        <v>17</v>
      </c>
      <c r="H522" t="s">
        <v>67</v>
      </c>
      <c r="I522" t="s">
        <v>765</v>
      </c>
      <c r="J522" t="s">
        <v>125</v>
      </c>
      <c r="K522" t="s">
        <v>126</v>
      </c>
      <c r="L522" t="s">
        <v>70</v>
      </c>
      <c r="N522">
        <f t="shared" si="40"/>
        <v>15</v>
      </c>
      <c r="O522">
        <f t="shared" si="41"/>
        <v>4</v>
      </c>
      <c r="P522" t="str">
        <f t="shared" si="42"/>
        <v>Observed Better</v>
      </c>
      <c r="Q522" t="str">
        <f t="shared" si="43"/>
        <v>April</v>
      </c>
      <c r="R522" t="str">
        <f t="shared" si="44"/>
        <v>Week 15</v>
      </c>
    </row>
    <row r="523" spans="1:18" x14ac:dyDescent="0.2">
      <c r="A523" s="11">
        <v>243743</v>
      </c>
      <c r="B523" s="2">
        <v>45391</v>
      </c>
      <c r="C523" t="s">
        <v>65</v>
      </c>
      <c r="D523" t="s">
        <v>66</v>
      </c>
      <c r="E523" t="s">
        <v>16</v>
      </c>
      <c r="F523" t="s">
        <v>17</v>
      </c>
      <c r="H523" t="s">
        <v>67</v>
      </c>
      <c r="I523" t="s">
        <v>765</v>
      </c>
      <c r="J523" t="s">
        <v>125</v>
      </c>
      <c r="K523" t="s">
        <v>126</v>
      </c>
      <c r="L523" t="s">
        <v>70</v>
      </c>
      <c r="N523">
        <f t="shared" si="40"/>
        <v>15</v>
      </c>
      <c r="O523">
        <f t="shared" si="41"/>
        <v>4</v>
      </c>
      <c r="P523" t="str">
        <f t="shared" si="42"/>
        <v>Observed Better</v>
      </c>
      <c r="Q523" t="str">
        <f t="shared" si="43"/>
        <v>April</v>
      </c>
      <c r="R523" t="str">
        <f t="shared" si="44"/>
        <v>Week 15</v>
      </c>
    </row>
    <row r="524" spans="1:18" x14ac:dyDescent="0.2">
      <c r="A524" s="11">
        <v>243744</v>
      </c>
      <c r="B524" s="2">
        <v>45391</v>
      </c>
      <c r="C524" t="s">
        <v>65</v>
      </c>
      <c r="D524" t="s">
        <v>66</v>
      </c>
      <c r="E524" t="s">
        <v>11</v>
      </c>
      <c r="F524" t="s">
        <v>131</v>
      </c>
      <c r="G524" t="s">
        <v>11</v>
      </c>
      <c r="H524" t="s">
        <v>67</v>
      </c>
      <c r="I524" t="s">
        <v>766</v>
      </c>
      <c r="J524" t="s">
        <v>125</v>
      </c>
      <c r="K524" t="s">
        <v>126</v>
      </c>
      <c r="L524" t="s">
        <v>70</v>
      </c>
      <c r="N524">
        <f t="shared" si="40"/>
        <v>15</v>
      </c>
      <c r="O524">
        <f t="shared" si="41"/>
        <v>4</v>
      </c>
      <c r="P524" t="str">
        <f t="shared" si="42"/>
        <v>Observed Better</v>
      </c>
      <c r="Q524" t="str">
        <f t="shared" si="43"/>
        <v>April</v>
      </c>
      <c r="R524" t="str">
        <f t="shared" si="44"/>
        <v>Week 15</v>
      </c>
    </row>
    <row r="525" spans="1:18" x14ac:dyDescent="0.2">
      <c r="A525" s="11">
        <v>243745</v>
      </c>
      <c r="B525" s="2">
        <v>45391</v>
      </c>
      <c r="C525" t="s">
        <v>65</v>
      </c>
      <c r="D525" t="s">
        <v>66</v>
      </c>
      <c r="E525" t="s">
        <v>11</v>
      </c>
      <c r="F525" t="s">
        <v>131</v>
      </c>
      <c r="G525" t="s">
        <v>11</v>
      </c>
      <c r="H525" t="s">
        <v>67</v>
      </c>
      <c r="I525" t="s">
        <v>766</v>
      </c>
      <c r="J525" t="s">
        <v>125</v>
      </c>
      <c r="K525" t="s">
        <v>126</v>
      </c>
      <c r="L525" t="s">
        <v>70</v>
      </c>
      <c r="N525">
        <f t="shared" si="40"/>
        <v>15</v>
      </c>
      <c r="O525">
        <f t="shared" si="41"/>
        <v>4</v>
      </c>
      <c r="P525" t="str">
        <f t="shared" si="42"/>
        <v>Observed Better</v>
      </c>
      <c r="Q525" t="str">
        <f t="shared" si="43"/>
        <v>April</v>
      </c>
      <c r="R525" t="str">
        <f t="shared" si="44"/>
        <v>Week 15</v>
      </c>
    </row>
    <row r="526" spans="1:18" x14ac:dyDescent="0.2">
      <c r="A526" s="11">
        <v>243750</v>
      </c>
      <c r="B526" s="2">
        <v>45391</v>
      </c>
      <c r="C526" t="s">
        <v>65</v>
      </c>
      <c r="D526" t="s">
        <v>66</v>
      </c>
      <c r="E526" t="s">
        <v>11</v>
      </c>
      <c r="F526" t="s">
        <v>363</v>
      </c>
      <c r="G526" t="s">
        <v>364</v>
      </c>
      <c r="H526" t="s">
        <v>67</v>
      </c>
      <c r="I526" t="s">
        <v>767</v>
      </c>
      <c r="J526" t="s">
        <v>455</v>
      </c>
      <c r="K526" t="s">
        <v>456</v>
      </c>
      <c r="L526" t="s">
        <v>70</v>
      </c>
      <c r="M526" t="s">
        <v>768</v>
      </c>
      <c r="N526">
        <f t="shared" si="40"/>
        <v>15</v>
      </c>
      <c r="O526">
        <f t="shared" si="41"/>
        <v>4</v>
      </c>
      <c r="P526" t="str">
        <f t="shared" si="42"/>
        <v>Observed Better</v>
      </c>
      <c r="Q526" t="str">
        <f t="shared" si="43"/>
        <v>April</v>
      </c>
      <c r="R526" t="str">
        <f t="shared" si="44"/>
        <v>Week 15</v>
      </c>
    </row>
    <row r="527" spans="1:18" x14ac:dyDescent="0.2">
      <c r="A527" s="11">
        <v>243751</v>
      </c>
      <c r="B527" s="2">
        <v>45391</v>
      </c>
      <c r="C527" t="s">
        <v>65</v>
      </c>
      <c r="D527" t="s">
        <v>66</v>
      </c>
      <c r="E527" t="s">
        <v>11</v>
      </c>
      <c r="F527" t="s">
        <v>363</v>
      </c>
      <c r="G527" t="s">
        <v>364</v>
      </c>
      <c r="H527" t="s">
        <v>67</v>
      </c>
      <c r="I527" t="s">
        <v>767</v>
      </c>
      <c r="J527" t="s">
        <v>455</v>
      </c>
      <c r="K527" t="s">
        <v>456</v>
      </c>
      <c r="L527" t="s">
        <v>70</v>
      </c>
      <c r="M527" t="s">
        <v>768</v>
      </c>
      <c r="N527">
        <f t="shared" si="40"/>
        <v>15</v>
      </c>
      <c r="O527">
        <f t="shared" si="41"/>
        <v>4</v>
      </c>
      <c r="P527" t="str">
        <f t="shared" si="42"/>
        <v>Observed Better</v>
      </c>
      <c r="Q527" t="str">
        <f t="shared" si="43"/>
        <v>April</v>
      </c>
      <c r="R527" t="str">
        <f t="shared" si="44"/>
        <v>Week 15</v>
      </c>
    </row>
    <row r="528" spans="1:18" x14ac:dyDescent="0.2">
      <c r="A528" s="11">
        <v>243752</v>
      </c>
      <c r="B528" s="2">
        <v>45392</v>
      </c>
      <c r="C528" t="s">
        <v>65</v>
      </c>
      <c r="D528" t="s">
        <v>66</v>
      </c>
      <c r="E528" t="s">
        <v>24</v>
      </c>
      <c r="F528" t="s">
        <v>10</v>
      </c>
      <c r="G528" t="s">
        <v>26</v>
      </c>
      <c r="H528" t="s">
        <v>67</v>
      </c>
      <c r="I528" t="s">
        <v>769</v>
      </c>
      <c r="J528" t="s">
        <v>125</v>
      </c>
      <c r="K528" t="s">
        <v>126</v>
      </c>
      <c r="L528" t="s">
        <v>70</v>
      </c>
      <c r="N528">
        <f t="shared" si="40"/>
        <v>15</v>
      </c>
      <c r="O528">
        <f t="shared" si="41"/>
        <v>4</v>
      </c>
      <c r="P528" t="str">
        <f t="shared" si="42"/>
        <v>Observed Better</v>
      </c>
      <c r="Q528" t="str">
        <f t="shared" si="43"/>
        <v>April</v>
      </c>
      <c r="R528" t="str">
        <f t="shared" si="44"/>
        <v>Week 15</v>
      </c>
    </row>
    <row r="529" spans="1:18" x14ac:dyDescent="0.2">
      <c r="A529" s="11">
        <v>243753</v>
      </c>
      <c r="B529" s="2">
        <v>45392</v>
      </c>
      <c r="C529" t="s">
        <v>65</v>
      </c>
      <c r="D529" t="s">
        <v>66</v>
      </c>
      <c r="E529" t="s">
        <v>24</v>
      </c>
      <c r="F529" t="s">
        <v>10</v>
      </c>
      <c r="G529" t="s">
        <v>26</v>
      </c>
      <c r="H529" t="s">
        <v>67</v>
      </c>
      <c r="I529" t="s">
        <v>769</v>
      </c>
      <c r="J529" t="s">
        <v>125</v>
      </c>
      <c r="K529" t="s">
        <v>126</v>
      </c>
      <c r="L529" t="s">
        <v>70</v>
      </c>
      <c r="N529">
        <f t="shared" si="40"/>
        <v>15</v>
      </c>
      <c r="O529">
        <f t="shared" si="41"/>
        <v>4</v>
      </c>
      <c r="P529" t="str">
        <f t="shared" si="42"/>
        <v>Observed Better</v>
      </c>
      <c r="Q529" t="str">
        <f t="shared" si="43"/>
        <v>April</v>
      </c>
      <c r="R529" t="str">
        <f t="shared" si="44"/>
        <v>Week 15</v>
      </c>
    </row>
    <row r="530" spans="1:18" x14ac:dyDescent="0.2">
      <c r="A530" s="11">
        <v>243754</v>
      </c>
      <c r="B530" s="2">
        <v>45392</v>
      </c>
      <c r="C530" t="s">
        <v>65</v>
      </c>
      <c r="D530" t="s">
        <v>66</v>
      </c>
      <c r="E530" t="s">
        <v>20</v>
      </c>
      <c r="F530" t="s">
        <v>235</v>
      </c>
      <c r="H530" t="s">
        <v>67</v>
      </c>
      <c r="I530" t="s">
        <v>770</v>
      </c>
      <c r="J530" t="s">
        <v>37</v>
      </c>
      <c r="K530" t="s">
        <v>69</v>
      </c>
      <c r="L530" t="s">
        <v>70</v>
      </c>
      <c r="N530">
        <f t="shared" si="40"/>
        <v>15</v>
      </c>
      <c r="O530">
        <f t="shared" si="41"/>
        <v>4</v>
      </c>
      <c r="P530" t="str">
        <f t="shared" si="42"/>
        <v>Observed Better</v>
      </c>
      <c r="Q530" t="str">
        <f t="shared" si="43"/>
        <v>April</v>
      </c>
      <c r="R530" t="str">
        <f t="shared" si="44"/>
        <v>Week 15</v>
      </c>
    </row>
    <row r="531" spans="1:18" x14ac:dyDescent="0.2">
      <c r="A531" s="11">
        <v>243755</v>
      </c>
      <c r="B531" s="2">
        <v>45392</v>
      </c>
      <c r="C531" t="s">
        <v>65</v>
      </c>
      <c r="D531" t="s">
        <v>66</v>
      </c>
      <c r="E531" t="s">
        <v>11</v>
      </c>
      <c r="F531" t="s">
        <v>12</v>
      </c>
      <c r="G531" t="s">
        <v>15</v>
      </c>
      <c r="H531" t="s">
        <v>67</v>
      </c>
      <c r="I531" t="s">
        <v>771</v>
      </c>
      <c r="J531" t="s">
        <v>772</v>
      </c>
      <c r="K531" t="s">
        <v>773</v>
      </c>
      <c r="L531" t="s">
        <v>70</v>
      </c>
      <c r="N531">
        <f t="shared" si="40"/>
        <v>15</v>
      </c>
      <c r="O531">
        <f t="shared" si="41"/>
        <v>4</v>
      </c>
      <c r="P531" t="str">
        <f t="shared" si="42"/>
        <v>Observed Better</v>
      </c>
      <c r="Q531" t="str">
        <f t="shared" si="43"/>
        <v>April</v>
      </c>
      <c r="R531" t="str">
        <f t="shared" si="44"/>
        <v>Week 15</v>
      </c>
    </row>
    <row r="532" spans="1:18" x14ac:dyDescent="0.2">
      <c r="A532" s="11">
        <v>243756</v>
      </c>
      <c r="B532" s="2">
        <v>45392</v>
      </c>
      <c r="C532" t="s">
        <v>65</v>
      </c>
      <c r="D532" t="s">
        <v>66</v>
      </c>
      <c r="E532" t="s">
        <v>11</v>
      </c>
      <c r="F532" t="s">
        <v>12</v>
      </c>
      <c r="G532" t="s">
        <v>15</v>
      </c>
      <c r="H532" t="s">
        <v>67</v>
      </c>
      <c r="I532" t="s">
        <v>771</v>
      </c>
      <c r="J532" t="s">
        <v>772</v>
      </c>
      <c r="K532" t="s">
        <v>773</v>
      </c>
      <c r="L532" t="s">
        <v>70</v>
      </c>
      <c r="N532">
        <f t="shared" si="40"/>
        <v>15</v>
      </c>
      <c r="O532">
        <f t="shared" si="41"/>
        <v>4</v>
      </c>
      <c r="P532" t="str">
        <f t="shared" si="42"/>
        <v>Observed Better</v>
      </c>
      <c r="Q532" t="str">
        <f t="shared" si="43"/>
        <v>April</v>
      </c>
      <c r="R532" t="str">
        <f t="shared" si="44"/>
        <v>Week 15</v>
      </c>
    </row>
    <row r="533" spans="1:18" x14ac:dyDescent="0.2">
      <c r="A533" s="11">
        <v>243757</v>
      </c>
      <c r="B533" s="2">
        <v>45392</v>
      </c>
      <c r="C533" t="s">
        <v>65</v>
      </c>
      <c r="D533" t="s">
        <v>66</v>
      </c>
      <c r="E533" t="s">
        <v>11</v>
      </c>
      <c r="F533" t="s">
        <v>12</v>
      </c>
      <c r="G533" t="s">
        <v>15</v>
      </c>
      <c r="H533" t="s">
        <v>67</v>
      </c>
      <c r="I533" t="s">
        <v>774</v>
      </c>
      <c r="J533" t="s">
        <v>772</v>
      </c>
      <c r="K533" t="s">
        <v>773</v>
      </c>
      <c r="L533" t="s">
        <v>70</v>
      </c>
      <c r="N533">
        <f t="shared" si="40"/>
        <v>15</v>
      </c>
      <c r="O533">
        <f t="shared" si="41"/>
        <v>4</v>
      </c>
      <c r="P533" t="str">
        <f t="shared" si="42"/>
        <v>Observed Better</v>
      </c>
      <c r="Q533" t="str">
        <f t="shared" si="43"/>
        <v>April</v>
      </c>
      <c r="R533" t="str">
        <f t="shared" si="44"/>
        <v>Week 15</v>
      </c>
    </row>
    <row r="534" spans="1:18" x14ac:dyDescent="0.2">
      <c r="A534" s="11">
        <v>243758</v>
      </c>
      <c r="B534" s="2">
        <v>45392</v>
      </c>
      <c r="C534" t="s">
        <v>65</v>
      </c>
      <c r="D534" t="s">
        <v>66</v>
      </c>
      <c r="E534" t="s">
        <v>11</v>
      </c>
      <c r="F534" t="s">
        <v>12</v>
      </c>
      <c r="G534" t="s">
        <v>15</v>
      </c>
      <c r="H534" t="s">
        <v>67</v>
      </c>
      <c r="I534" t="s">
        <v>774</v>
      </c>
      <c r="J534" t="s">
        <v>772</v>
      </c>
      <c r="K534" t="s">
        <v>773</v>
      </c>
      <c r="L534" t="s">
        <v>70</v>
      </c>
      <c r="N534">
        <f t="shared" si="40"/>
        <v>15</v>
      </c>
      <c r="O534">
        <f t="shared" si="41"/>
        <v>4</v>
      </c>
      <c r="P534" t="str">
        <f t="shared" si="42"/>
        <v>Observed Better</v>
      </c>
      <c r="Q534" t="str">
        <f t="shared" si="43"/>
        <v>April</v>
      </c>
      <c r="R534" t="str">
        <f t="shared" si="44"/>
        <v>Week 15</v>
      </c>
    </row>
    <row r="535" spans="1:18" x14ac:dyDescent="0.2">
      <c r="A535" s="11">
        <v>243759</v>
      </c>
      <c r="B535" s="2">
        <v>45392</v>
      </c>
      <c r="C535" t="s">
        <v>65</v>
      </c>
      <c r="D535" t="s">
        <v>66</v>
      </c>
      <c r="E535" t="s">
        <v>20</v>
      </c>
      <c r="F535" t="s">
        <v>21</v>
      </c>
      <c r="G535" t="s">
        <v>22</v>
      </c>
      <c r="H535" t="s">
        <v>67</v>
      </c>
      <c r="I535" t="s">
        <v>775</v>
      </c>
      <c r="J535" t="s">
        <v>125</v>
      </c>
      <c r="K535" t="s">
        <v>126</v>
      </c>
      <c r="L535" t="s">
        <v>70</v>
      </c>
      <c r="N535">
        <f t="shared" si="40"/>
        <v>15</v>
      </c>
      <c r="O535">
        <f t="shared" si="41"/>
        <v>4</v>
      </c>
      <c r="P535" t="str">
        <f t="shared" si="42"/>
        <v>Observed Better</v>
      </c>
      <c r="Q535" t="str">
        <f t="shared" si="43"/>
        <v>April</v>
      </c>
      <c r="R535" t="str">
        <f t="shared" si="44"/>
        <v>Week 15</v>
      </c>
    </row>
    <row r="536" spans="1:18" x14ac:dyDescent="0.2">
      <c r="A536" s="11">
        <v>243760</v>
      </c>
      <c r="B536" s="2">
        <v>45392</v>
      </c>
      <c r="C536" t="s">
        <v>65</v>
      </c>
      <c r="D536" t="s">
        <v>66</v>
      </c>
      <c r="E536" t="s">
        <v>20</v>
      </c>
      <c r="F536" t="s">
        <v>21</v>
      </c>
      <c r="G536" t="s">
        <v>22</v>
      </c>
      <c r="H536" t="s">
        <v>67</v>
      </c>
      <c r="I536" t="s">
        <v>775</v>
      </c>
      <c r="J536" t="s">
        <v>125</v>
      </c>
      <c r="K536" t="s">
        <v>126</v>
      </c>
      <c r="L536" t="s">
        <v>70</v>
      </c>
      <c r="N536">
        <f t="shared" si="40"/>
        <v>15</v>
      </c>
      <c r="O536">
        <f t="shared" si="41"/>
        <v>4</v>
      </c>
      <c r="P536" t="str">
        <f t="shared" si="42"/>
        <v>Observed Better</v>
      </c>
      <c r="Q536" t="str">
        <f t="shared" si="43"/>
        <v>April</v>
      </c>
      <c r="R536" t="str">
        <f t="shared" si="44"/>
        <v>Week 15</v>
      </c>
    </row>
    <row r="537" spans="1:18" ht="60" customHeight="1" x14ac:dyDescent="0.2">
      <c r="A537" s="11">
        <v>243761</v>
      </c>
      <c r="B537" s="2">
        <v>45392</v>
      </c>
      <c r="C537" t="s">
        <v>65</v>
      </c>
      <c r="D537" t="s">
        <v>66</v>
      </c>
      <c r="E537" t="s">
        <v>20</v>
      </c>
      <c r="F537" t="s">
        <v>10</v>
      </c>
      <c r="G537" t="s">
        <v>23</v>
      </c>
      <c r="H537" t="s">
        <v>67</v>
      </c>
      <c r="I537" t="s">
        <v>776</v>
      </c>
      <c r="J537" t="s">
        <v>125</v>
      </c>
      <c r="K537" t="s">
        <v>126</v>
      </c>
      <c r="L537" t="s">
        <v>70</v>
      </c>
      <c r="M537" s="8" t="s">
        <v>777</v>
      </c>
      <c r="N537">
        <f t="shared" si="40"/>
        <v>15</v>
      </c>
      <c r="O537">
        <f t="shared" si="41"/>
        <v>4</v>
      </c>
      <c r="P537" t="str">
        <f t="shared" si="42"/>
        <v>Observed Better</v>
      </c>
      <c r="Q537" t="str">
        <f t="shared" si="43"/>
        <v>April</v>
      </c>
      <c r="R537" t="str">
        <f t="shared" si="44"/>
        <v>Week 15</v>
      </c>
    </row>
    <row r="538" spans="1:18" ht="60" customHeight="1" x14ac:dyDescent="0.2">
      <c r="A538" s="11">
        <v>243762</v>
      </c>
      <c r="B538" s="2">
        <v>45392</v>
      </c>
      <c r="C538" t="s">
        <v>65</v>
      </c>
      <c r="D538" t="s">
        <v>66</v>
      </c>
      <c r="E538" t="s">
        <v>20</v>
      </c>
      <c r="F538" t="s">
        <v>10</v>
      </c>
      <c r="G538" t="s">
        <v>23</v>
      </c>
      <c r="H538" t="s">
        <v>67</v>
      </c>
      <c r="I538" t="s">
        <v>776</v>
      </c>
      <c r="J538" t="s">
        <v>125</v>
      </c>
      <c r="K538" t="s">
        <v>126</v>
      </c>
      <c r="L538" t="s">
        <v>70</v>
      </c>
      <c r="M538" s="8" t="s">
        <v>777</v>
      </c>
      <c r="N538">
        <f t="shared" si="40"/>
        <v>15</v>
      </c>
      <c r="O538">
        <f t="shared" si="41"/>
        <v>4</v>
      </c>
      <c r="P538" t="str">
        <f t="shared" si="42"/>
        <v>Observed Better</v>
      </c>
      <c r="Q538" t="str">
        <f t="shared" si="43"/>
        <v>April</v>
      </c>
      <c r="R538" t="str">
        <f t="shared" si="44"/>
        <v>Week 15</v>
      </c>
    </row>
    <row r="539" spans="1:18" x14ac:dyDescent="0.2">
      <c r="A539" s="11">
        <v>243763</v>
      </c>
      <c r="B539" s="2">
        <v>45392</v>
      </c>
      <c r="C539" t="s">
        <v>65</v>
      </c>
      <c r="D539" t="s">
        <v>66</v>
      </c>
      <c r="E539" t="s">
        <v>16</v>
      </c>
      <c r="F539" t="s">
        <v>227</v>
      </c>
      <c r="H539" t="s">
        <v>67</v>
      </c>
      <c r="I539" t="s">
        <v>778</v>
      </c>
      <c r="J539" t="s">
        <v>455</v>
      </c>
      <c r="K539" t="s">
        <v>456</v>
      </c>
      <c r="L539" t="s">
        <v>70</v>
      </c>
      <c r="N539">
        <f t="shared" si="40"/>
        <v>15</v>
      </c>
      <c r="O539">
        <f t="shared" si="41"/>
        <v>4</v>
      </c>
      <c r="P539" t="str">
        <f t="shared" si="42"/>
        <v>Observed Better</v>
      </c>
      <c r="Q539" t="str">
        <f t="shared" si="43"/>
        <v>April</v>
      </c>
      <c r="R539" t="str">
        <f t="shared" si="44"/>
        <v>Week 15</v>
      </c>
    </row>
    <row r="540" spans="1:18" x14ac:dyDescent="0.2">
      <c r="A540" s="11">
        <v>243764</v>
      </c>
      <c r="B540" s="2">
        <v>45392</v>
      </c>
      <c r="C540" t="s">
        <v>65</v>
      </c>
      <c r="D540" t="s">
        <v>66</v>
      </c>
      <c r="E540" t="s">
        <v>20</v>
      </c>
      <c r="F540" t="s">
        <v>21</v>
      </c>
      <c r="G540" t="s">
        <v>22</v>
      </c>
      <c r="H540" t="s">
        <v>67</v>
      </c>
      <c r="I540" t="s">
        <v>779</v>
      </c>
      <c r="J540" t="s">
        <v>43</v>
      </c>
      <c r="K540" t="s">
        <v>141</v>
      </c>
      <c r="L540" t="s">
        <v>77</v>
      </c>
      <c r="N540">
        <f t="shared" si="40"/>
        <v>15</v>
      </c>
      <c r="O540">
        <f t="shared" si="41"/>
        <v>4</v>
      </c>
      <c r="P540" t="str">
        <f t="shared" si="42"/>
        <v>Provided Guidance</v>
      </c>
      <c r="Q540" t="str">
        <f t="shared" si="43"/>
        <v>April</v>
      </c>
      <c r="R540" t="str">
        <f t="shared" si="44"/>
        <v>Week 15</v>
      </c>
    </row>
    <row r="541" spans="1:18" x14ac:dyDescent="0.2">
      <c r="A541" s="11">
        <v>243765</v>
      </c>
      <c r="B541" s="2">
        <v>45393</v>
      </c>
      <c r="C541" t="s">
        <v>65</v>
      </c>
      <c r="D541" t="s">
        <v>66</v>
      </c>
      <c r="E541" t="s">
        <v>8</v>
      </c>
      <c r="F541" t="s">
        <v>9</v>
      </c>
      <c r="G541" t="s">
        <v>203</v>
      </c>
      <c r="H541" t="s">
        <v>67</v>
      </c>
      <c r="I541" t="s">
        <v>780</v>
      </c>
      <c r="J541" t="s">
        <v>580</v>
      </c>
      <c r="K541" t="s">
        <v>581</v>
      </c>
      <c r="L541" t="s">
        <v>77</v>
      </c>
      <c r="N541">
        <f t="shared" si="40"/>
        <v>15</v>
      </c>
      <c r="O541">
        <f t="shared" si="41"/>
        <v>4</v>
      </c>
      <c r="P541" t="str">
        <f t="shared" si="42"/>
        <v>Provided Guidance</v>
      </c>
      <c r="Q541" t="str">
        <f t="shared" si="43"/>
        <v>April</v>
      </c>
      <c r="R541" t="str">
        <f t="shared" si="44"/>
        <v>Week 15</v>
      </c>
    </row>
    <row r="542" spans="1:18" x14ac:dyDescent="0.2">
      <c r="A542" s="11">
        <v>243766</v>
      </c>
      <c r="B542" s="2">
        <v>45393</v>
      </c>
      <c r="C542" t="s">
        <v>65</v>
      </c>
      <c r="D542" t="s">
        <v>66</v>
      </c>
      <c r="E542" t="s">
        <v>20</v>
      </c>
      <c r="F542" t="s">
        <v>10</v>
      </c>
      <c r="G542" t="s">
        <v>23</v>
      </c>
      <c r="H542" t="s">
        <v>67</v>
      </c>
      <c r="I542" t="s">
        <v>781</v>
      </c>
      <c r="J542" t="s">
        <v>580</v>
      </c>
      <c r="K542" t="s">
        <v>581</v>
      </c>
      <c r="L542" t="s">
        <v>70</v>
      </c>
      <c r="N542">
        <f t="shared" si="40"/>
        <v>15</v>
      </c>
      <c r="O542">
        <f t="shared" si="41"/>
        <v>4</v>
      </c>
      <c r="P542" t="str">
        <f t="shared" si="42"/>
        <v>Observed Better</v>
      </c>
      <c r="Q542" t="str">
        <f t="shared" si="43"/>
        <v>April</v>
      </c>
      <c r="R542" t="str">
        <f t="shared" si="44"/>
        <v>Week 15</v>
      </c>
    </row>
    <row r="543" spans="1:18" x14ac:dyDescent="0.2">
      <c r="A543" s="11">
        <v>243767</v>
      </c>
      <c r="B543" s="2">
        <v>45393</v>
      </c>
      <c r="C543" t="s">
        <v>65</v>
      </c>
      <c r="D543" t="s">
        <v>66</v>
      </c>
      <c r="E543" t="s">
        <v>20</v>
      </c>
      <c r="F543" t="s">
        <v>21</v>
      </c>
      <c r="G543" t="s">
        <v>22</v>
      </c>
      <c r="H543" t="s">
        <v>67</v>
      </c>
      <c r="I543" t="s">
        <v>782</v>
      </c>
      <c r="J543" t="s">
        <v>41</v>
      </c>
      <c r="K543" t="s">
        <v>92</v>
      </c>
      <c r="L543" t="s">
        <v>70</v>
      </c>
      <c r="N543">
        <f t="shared" si="40"/>
        <v>15</v>
      </c>
      <c r="O543">
        <f t="shared" si="41"/>
        <v>4</v>
      </c>
      <c r="P543" t="str">
        <f t="shared" si="42"/>
        <v>Observed Better</v>
      </c>
      <c r="Q543" t="str">
        <f t="shared" si="43"/>
        <v>April</v>
      </c>
      <c r="R543" t="str">
        <f t="shared" si="44"/>
        <v>Week 15</v>
      </c>
    </row>
    <row r="544" spans="1:18" x14ac:dyDescent="0.2">
      <c r="A544" s="11">
        <v>243768</v>
      </c>
      <c r="B544" s="2">
        <v>45393</v>
      </c>
      <c r="C544" t="s">
        <v>65</v>
      </c>
      <c r="D544" t="s">
        <v>66</v>
      </c>
      <c r="E544" t="s">
        <v>20</v>
      </c>
      <c r="F544" t="s">
        <v>21</v>
      </c>
      <c r="G544" t="s">
        <v>22</v>
      </c>
      <c r="H544" t="s">
        <v>67</v>
      </c>
      <c r="I544" t="s">
        <v>783</v>
      </c>
      <c r="J544" t="s">
        <v>41</v>
      </c>
      <c r="K544" t="s">
        <v>92</v>
      </c>
      <c r="L544" t="s">
        <v>70</v>
      </c>
      <c r="N544">
        <f t="shared" si="40"/>
        <v>15</v>
      </c>
      <c r="O544">
        <f t="shared" si="41"/>
        <v>4</v>
      </c>
      <c r="P544" t="str">
        <f t="shared" si="42"/>
        <v>Observed Better</v>
      </c>
      <c r="Q544" t="str">
        <f t="shared" si="43"/>
        <v>April</v>
      </c>
      <c r="R544" t="str">
        <f t="shared" si="44"/>
        <v>Week 15</v>
      </c>
    </row>
    <row r="545" spans="1:18" x14ac:dyDescent="0.2">
      <c r="A545" s="11">
        <v>243769</v>
      </c>
      <c r="B545" s="2">
        <v>45393</v>
      </c>
      <c r="C545" t="s">
        <v>65</v>
      </c>
      <c r="D545" t="s">
        <v>66</v>
      </c>
      <c r="E545" t="s">
        <v>11</v>
      </c>
      <c r="F545" t="s">
        <v>134</v>
      </c>
      <c r="G545" t="s">
        <v>135</v>
      </c>
      <c r="H545" t="s">
        <v>67</v>
      </c>
      <c r="I545" t="s">
        <v>784</v>
      </c>
      <c r="J545" t="s">
        <v>43</v>
      </c>
      <c r="K545" t="s">
        <v>141</v>
      </c>
      <c r="L545" t="s">
        <v>77</v>
      </c>
      <c r="N545">
        <f t="shared" si="40"/>
        <v>15</v>
      </c>
      <c r="O545">
        <f t="shared" si="41"/>
        <v>4</v>
      </c>
      <c r="P545" t="str">
        <f t="shared" si="42"/>
        <v>Provided Guidance</v>
      </c>
      <c r="Q545" t="str">
        <f t="shared" si="43"/>
        <v>April</v>
      </c>
      <c r="R545" t="str">
        <f t="shared" si="44"/>
        <v>Week 15</v>
      </c>
    </row>
    <row r="546" spans="1:18" x14ac:dyDescent="0.2">
      <c r="A546" s="11">
        <v>243770</v>
      </c>
      <c r="B546" s="2">
        <v>45393</v>
      </c>
      <c r="C546" t="s">
        <v>65</v>
      </c>
      <c r="D546" t="s">
        <v>66</v>
      </c>
      <c r="E546" t="s">
        <v>11</v>
      </c>
      <c r="F546" t="s">
        <v>134</v>
      </c>
      <c r="G546" t="s">
        <v>135</v>
      </c>
      <c r="H546" t="s">
        <v>67</v>
      </c>
      <c r="I546" t="s">
        <v>785</v>
      </c>
      <c r="J546" t="s">
        <v>43</v>
      </c>
      <c r="K546" t="s">
        <v>141</v>
      </c>
      <c r="L546" t="s">
        <v>70</v>
      </c>
      <c r="N546">
        <f t="shared" si="40"/>
        <v>15</v>
      </c>
      <c r="O546">
        <f t="shared" si="41"/>
        <v>4</v>
      </c>
      <c r="P546" t="str">
        <f t="shared" si="42"/>
        <v>Observed Better</v>
      </c>
      <c r="Q546" t="str">
        <f t="shared" si="43"/>
        <v>April</v>
      </c>
      <c r="R546" t="str">
        <f t="shared" si="44"/>
        <v>Week 15</v>
      </c>
    </row>
    <row r="547" spans="1:18" x14ac:dyDescent="0.2">
      <c r="A547" s="11">
        <v>243771</v>
      </c>
      <c r="B547" s="2">
        <v>45393</v>
      </c>
      <c r="C547" t="s">
        <v>65</v>
      </c>
      <c r="D547" t="s">
        <v>66</v>
      </c>
      <c r="E547" t="s">
        <v>8</v>
      </c>
      <c r="F547" t="s">
        <v>9</v>
      </c>
      <c r="G547" t="s">
        <v>10</v>
      </c>
      <c r="H547" t="s">
        <v>67</v>
      </c>
      <c r="I547" t="s">
        <v>786</v>
      </c>
      <c r="J547" t="s">
        <v>43</v>
      </c>
      <c r="K547" t="s">
        <v>141</v>
      </c>
      <c r="L547" t="s">
        <v>70</v>
      </c>
      <c r="N547">
        <f t="shared" si="40"/>
        <v>15</v>
      </c>
      <c r="O547">
        <f t="shared" si="41"/>
        <v>4</v>
      </c>
      <c r="P547" t="str">
        <f t="shared" si="42"/>
        <v>Observed Better</v>
      </c>
      <c r="Q547" t="str">
        <f t="shared" si="43"/>
        <v>April</v>
      </c>
      <c r="R547" t="str">
        <f t="shared" si="44"/>
        <v>Week 15</v>
      </c>
    </row>
    <row r="548" spans="1:18" x14ac:dyDescent="0.2">
      <c r="A548" s="11">
        <v>243774</v>
      </c>
      <c r="B548" s="2">
        <v>45393</v>
      </c>
      <c r="C548" t="s">
        <v>65</v>
      </c>
      <c r="D548" t="s">
        <v>66</v>
      </c>
      <c r="E548" t="s">
        <v>16</v>
      </c>
      <c r="F548" t="s">
        <v>94</v>
      </c>
      <c r="H548" t="s">
        <v>67</v>
      </c>
      <c r="I548" t="s">
        <v>787</v>
      </c>
      <c r="J548" t="s">
        <v>34</v>
      </c>
      <c r="K548" t="s">
        <v>295</v>
      </c>
      <c r="L548" t="s">
        <v>77</v>
      </c>
      <c r="M548" t="s">
        <v>357</v>
      </c>
      <c r="N548">
        <f t="shared" si="40"/>
        <v>15</v>
      </c>
      <c r="O548">
        <f t="shared" si="41"/>
        <v>4</v>
      </c>
      <c r="P548" t="str">
        <f t="shared" si="42"/>
        <v>Provided Guidance</v>
      </c>
      <c r="Q548" t="str">
        <f t="shared" si="43"/>
        <v>April</v>
      </c>
      <c r="R548" t="str">
        <f t="shared" si="44"/>
        <v>Week 15</v>
      </c>
    </row>
    <row r="549" spans="1:18" x14ac:dyDescent="0.2">
      <c r="A549" s="11">
        <v>243775</v>
      </c>
      <c r="B549" s="2">
        <v>45393</v>
      </c>
      <c r="C549" t="s">
        <v>65</v>
      </c>
      <c r="D549" t="s">
        <v>66</v>
      </c>
      <c r="E549" t="s">
        <v>8</v>
      </c>
      <c r="F549" t="s">
        <v>9</v>
      </c>
      <c r="G549" t="s">
        <v>11</v>
      </c>
      <c r="H549" t="s">
        <v>67</v>
      </c>
      <c r="I549" t="s">
        <v>788</v>
      </c>
      <c r="J549" t="s">
        <v>251</v>
      </c>
      <c r="K549" t="s">
        <v>252</v>
      </c>
      <c r="L549" t="s">
        <v>77</v>
      </c>
      <c r="N549">
        <f t="shared" si="40"/>
        <v>15</v>
      </c>
      <c r="O549">
        <f t="shared" si="41"/>
        <v>4</v>
      </c>
      <c r="P549" t="str">
        <f t="shared" si="42"/>
        <v>Provided Guidance</v>
      </c>
      <c r="Q549" t="str">
        <f t="shared" si="43"/>
        <v>April</v>
      </c>
      <c r="R549" t="str">
        <f t="shared" si="44"/>
        <v>Week 15</v>
      </c>
    </row>
    <row r="550" spans="1:18" x14ac:dyDescent="0.2">
      <c r="A550" s="11">
        <v>243776</v>
      </c>
      <c r="B550" s="2">
        <v>45393</v>
      </c>
      <c r="C550" t="s">
        <v>65</v>
      </c>
      <c r="D550" t="s">
        <v>66</v>
      </c>
      <c r="E550" t="s">
        <v>20</v>
      </c>
      <c r="F550" t="s">
        <v>10</v>
      </c>
      <c r="G550" t="s">
        <v>23</v>
      </c>
      <c r="H550" t="s">
        <v>67</v>
      </c>
      <c r="I550" t="s">
        <v>789</v>
      </c>
      <c r="J550" t="s">
        <v>251</v>
      </c>
      <c r="K550" t="s">
        <v>252</v>
      </c>
      <c r="L550" t="s">
        <v>77</v>
      </c>
      <c r="N550">
        <f t="shared" si="40"/>
        <v>15</v>
      </c>
      <c r="O550">
        <f t="shared" si="41"/>
        <v>4</v>
      </c>
      <c r="P550" t="str">
        <f t="shared" si="42"/>
        <v>Provided Guidance</v>
      </c>
      <c r="Q550" t="str">
        <f t="shared" si="43"/>
        <v>April</v>
      </c>
      <c r="R550" t="str">
        <f t="shared" si="44"/>
        <v>Week 15</v>
      </c>
    </row>
    <row r="551" spans="1:18" x14ac:dyDescent="0.2">
      <c r="A551" s="11">
        <v>243777</v>
      </c>
      <c r="B551" s="2">
        <v>45393</v>
      </c>
      <c r="C551" t="s">
        <v>65</v>
      </c>
      <c r="D551" t="s">
        <v>66</v>
      </c>
      <c r="E551" t="s">
        <v>16</v>
      </c>
      <c r="F551" t="s">
        <v>162</v>
      </c>
      <c r="H551" t="s">
        <v>67</v>
      </c>
      <c r="I551" t="s">
        <v>790</v>
      </c>
      <c r="J551" t="s">
        <v>455</v>
      </c>
      <c r="K551" t="s">
        <v>456</v>
      </c>
      <c r="L551" t="s">
        <v>70</v>
      </c>
      <c r="N551">
        <f t="shared" si="40"/>
        <v>15</v>
      </c>
      <c r="O551">
        <f t="shared" si="41"/>
        <v>4</v>
      </c>
      <c r="P551" t="str">
        <f t="shared" si="42"/>
        <v>Observed Better</v>
      </c>
      <c r="Q551" t="str">
        <f t="shared" si="43"/>
        <v>April</v>
      </c>
      <c r="R551" t="str">
        <f t="shared" si="44"/>
        <v>Week 15</v>
      </c>
    </row>
    <row r="552" spans="1:18" x14ac:dyDescent="0.2">
      <c r="A552" s="11">
        <v>243778</v>
      </c>
      <c r="B552" s="2">
        <v>45393</v>
      </c>
      <c r="C552" t="s">
        <v>65</v>
      </c>
      <c r="D552" t="s">
        <v>66</v>
      </c>
      <c r="E552" t="s">
        <v>20</v>
      </c>
      <c r="F552" t="s">
        <v>21</v>
      </c>
      <c r="G552" t="s">
        <v>22</v>
      </c>
      <c r="H552" t="s">
        <v>67</v>
      </c>
      <c r="I552" t="s">
        <v>791</v>
      </c>
      <c r="J552" t="s">
        <v>38</v>
      </c>
      <c r="K552" t="s">
        <v>97</v>
      </c>
      <c r="L552" t="s">
        <v>70</v>
      </c>
      <c r="M552" t="s">
        <v>792</v>
      </c>
      <c r="N552">
        <f t="shared" si="40"/>
        <v>15</v>
      </c>
      <c r="O552">
        <f t="shared" si="41"/>
        <v>4</v>
      </c>
      <c r="P552" t="str">
        <f t="shared" si="42"/>
        <v>Observed Better</v>
      </c>
      <c r="Q552" t="str">
        <f t="shared" si="43"/>
        <v>April</v>
      </c>
      <c r="R552" t="str">
        <f t="shared" si="44"/>
        <v>Week 15</v>
      </c>
    </row>
    <row r="553" spans="1:18" x14ac:dyDescent="0.2">
      <c r="A553" s="11">
        <v>243779</v>
      </c>
      <c r="B553" s="2">
        <v>45393</v>
      </c>
      <c r="C553" t="s">
        <v>65</v>
      </c>
      <c r="D553" t="s">
        <v>66</v>
      </c>
      <c r="E553" t="s">
        <v>8</v>
      </c>
      <c r="F553" t="s">
        <v>427</v>
      </c>
      <c r="G553" t="s">
        <v>489</v>
      </c>
      <c r="H553" t="s">
        <v>67</v>
      </c>
      <c r="I553" t="s">
        <v>793</v>
      </c>
      <c r="J553" t="s">
        <v>34</v>
      </c>
      <c r="K553" t="s">
        <v>295</v>
      </c>
      <c r="L553" t="s">
        <v>77</v>
      </c>
      <c r="M553" t="s">
        <v>357</v>
      </c>
      <c r="N553">
        <f t="shared" si="40"/>
        <v>15</v>
      </c>
      <c r="O553">
        <f t="shared" si="41"/>
        <v>4</v>
      </c>
      <c r="P553" t="str">
        <f t="shared" si="42"/>
        <v>Provided Guidance</v>
      </c>
      <c r="Q553" t="str">
        <f t="shared" si="43"/>
        <v>April</v>
      </c>
      <c r="R553" t="str">
        <f t="shared" si="44"/>
        <v>Week 15</v>
      </c>
    </row>
    <row r="554" spans="1:18" x14ac:dyDescent="0.2">
      <c r="A554" s="11">
        <v>243780</v>
      </c>
      <c r="B554" s="2">
        <v>45393</v>
      </c>
      <c r="C554" t="s">
        <v>65</v>
      </c>
      <c r="D554" t="s">
        <v>66</v>
      </c>
      <c r="E554" t="s">
        <v>8</v>
      </c>
      <c r="F554" t="s">
        <v>9</v>
      </c>
      <c r="G554" t="s">
        <v>203</v>
      </c>
      <c r="H554" t="s">
        <v>67</v>
      </c>
      <c r="I554" t="s">
        <v>794</v>
      </c>
      <c r="J554" t="s">
        <v>34</v>
      </c>
      <c r="K554" t="s">
        <v>295</v>
      </c>
      <c r="L554" t="s">
        <v>77</v>
      </c>
      <c r="M554" t="s">
        <v>357</v>
      </c>
      <c r="N554">
        <f t="shared" si="40"/>
        <v>15</v>
      </c>
      <c r="O554">
        <f t="shared" si="41"/>
        <v>4</v>
      </c>
      <c r="P554" t="str">
        <f t="shared" si="42"/>
        <v>Provided Guidance</v>
      </c>
      <c r="Q554" t="str">
        <f t="shared" si="43"/>
        <v>April</v>
      </c>
      <c r="R554" t="str">
        <f t="shared" si="44"/>
        <v>Week 15</v>
      </c>
    </row>
    <row r="555" spans="1:18" x14ac:dyDescent="0.2">
      <c r="A555" s="11">
        <v>243781</v>
      </c>
      <c r="B555" s="2">
        <v>45393</v>
      </c>
      <c r="C555" t="s">
        <v>65</v>
      </c>
      <c r="D555" t="s">
        <v>66</v>
      </c>
      <c r="E555" t="s">
        <v>20</v>
      </c>
      <c r="F555" t="s">
        <v>10</v>
      </c>
      <c r="G555" t="s">
        <v>23</v>
      </c>
      <c r="H555" t="s">
        <v>67</v>
      </c>
      <c r="I555" t="s">
        <v>795</v>
      </c>
      <c r="J555" t="s">
        <v>37</v>
      </c>
      <c r="K555" t="s">
        <v>69</v>
      </c>
      <c r="L555" t="s">
        <v>70</v>
      </c>
      <c r="N555">
        <f t="shared" si="40"/>
        <v>15</v>
      </c>
      <c r="O555">
        <f t="shared" si="41"/>
        <v>4</v>
      </c>
      <c r="P555" t="str">
        <f t="shared" si="42"/>
        <v>Observed Better</v>
      </c>
      <c r="Q555" t="str">
        <f t="shared" si="43"/>
        <v>April</v>
      </c>
      <c r="R555" t="str">
        <f t="shared" si="44"/>
        <v>Week 15</v>
      </c>
    </row>
    <row r="556" spans="1:18" x14ac:dyDescent="0.2">
      <c r="A556" s="11">
        <v>243782</v>
      </c>
      <c r="B556" s="2">
        <v>45394</v>
      </c>
      <c r="C556" t="s">
        <v>65</v>
      </c>
      <c r="D556" t="s">
        <v>66</v>
      </c>
      <c r="E556" t="s">
        <v>20</v>
      </c>
      <c r="F556" t="s">
        <v>10</v>
      </c>
      <c r="G556" t="s">
        <v>23</v>
      </c>
      <c r="H556" t="s">
        <v>67</v>
      </c>
      <c r="I556" t="s">
        <v>796</v>
      </c>
      <c r="J556" t="s">
        <v>35</v>
      </c>
      <c r="K556" t="s">
        <v>241</v>
      </c>
      <c r="L556" t="s">
        <v>70</v>
      </c>
      <c r="N556">
        <f t="shared" si="40"/>
        <v>15</v>
      </c>
      <c r="O556">
        <f t="shared" si="41"/>
        <v>4</v>
      </c>
      <c r="P556" t="str">
        <f t="shared" si="42"/>
        <v>Observed Better</v>
      </c>
      <c r="Q556" t="str">
        <f t="shared" si="43"/>
        <v>April</v>
      </c>
      <c r="R556" t="str">
        <f t="shared" si="44"/>
        <v>Week 15</v>
      </c>
    </row>
    <row r="557" spans="1:18" x14ac:dyDescent="0.2">
      <c r="A557" s="11">
        <v>243783</v>
      </c>
      <c r="B557" s="2">
        <v>45394</v>
      </c>
      <c r="C557" t="s">
        <v>65</v>
      </c>
      <c r="D557" t="s">
        <v>66</v>
      </c>
      <c r="E557" t="s">
        <v>11</v>
      </c>
      <c r="F557" t="s">
        <v>12</v>
      </c>
      <c r="G557" t="s">
        <v>15</v>
      </c>
      <c r="H557" t="s">
        <v>67</v>
      </c>
      <c r="I557" t="s">
        <v>797</v>
      </c>
      <c r="J557" t="s">
        <v>35</v>
      </c>
      <c r="K557" t="s">
        <v>241</v>
      </c>
      <c r="L557" t="s">
        <v>70</v>
      </c>
      <c r="N557">
        <f t="shared" si="40"/>
        <v>15</v>
      </c>
      <c r="O557">
        <f t="shared" si="41"/>
        <v>4</v>
      </c>
      <c r="P557" t="str">
        <f t="shared" si="42"/>
        <v>Observed Better</v>
      </c>
      <c r="Q557" t="str">
        <f t="shared" si="43"/>
        <v>April</v>
      </c>
      <c r="R557" t="str">
        <f t="shared" si="44"/>
        <v>Week 15</v>
      </c>
    </row>
    <row r="558" spans="1:18" x14ac:dyDescent="0.2">
      <c r="A558" s="11">
        <v>243784</v>
      </c>
      <c r="B558" s="2">
        <v>45394</v>
      </c>
      <c r="C558" t="s">
        <v>65</v>
      </c>
      <c r="D558" t="s">
        <v>66</v>
      </c>
      <c r="E558" t="s">
        <v>11</v>
      </c>
      <c r="F558" t="s">
        <v>134</v>
      </c>
      <c r="G558" t="s">
        <v>135</v>
      </c>
      <c r="H558" t="s">
        <v>67</v>
      </c>
      <c r="I558" t="s">
        <v>798</v>
      </c>
      <c r="J558" t="s">
        <v>35</v>
      </c>
      <c r="K558" t="s">
        <v>241</v>
      </c>
      <c r="L558" t="s">
        <v>70</v>
      </c>
      <c r="N558">
        <f t="shared" si="40"/>
        <v>15</v>
      </c>
      <c r="O558">
        <f t="shared" si="41"/>
        <v>4</v>
      </c>
      <c r="P558" t="str">
        <f t="shared" si="42"/>
        <v>Observed Better</v>
      </c>
      <c r="Q558" t="str">
        <f t="shared" si="43"/>
        <v>April</v>
      </c>
      <c r="R558" t="str">
        <f t="shared" si="44"/>
        <v>Week 15</v>
      </c>
    </row>
    <row r="559" spans="1:18" x14ac:dyDescent="0.2">
      <c r="A559" s="11">
        <v>243785</v>
      </c>
      <c r="B559" s="2">
        <v>45394</v>
      </c>
      <c r="C559" t="s">
        <v>65</v>
      </c>
      <c r="D559" t="s">
        <v>66</v>
      </c>
      <c r="E559" t="s">
        <v>16</v>
      </c>
      <c r="F559" t="s">
        <v>94</v>
      </c>
      <c r="H559" t="s">
        <v>67</v>
      </c>
      <c r="I559" t="s">
        <v>799</v>
      </c>
      <c r="J559" t="s">
        <v>37</v>
      </c>
      <c r="K559" t="s">
        <v>69</v>
      </c>
      <c r="L559" t="s">
        <v>70</v>
      </c>
      <c r="N559">
        <f t="shared" si="40"/>
        <v>15</v>
      </c>
      <c r="O559">
        <f t="shared" si="41"/>
        <v>4</v>
      </c>
      <c r="P559" t="str">
        <f t="shared" si="42"/>
        <v>Observed Better</v>
      </c>
      <c r="Q559" t="str">
        <f t="shared" si="43"/>
        <v>April</v>
      </c>
      <c r="R559" t="str">
        <f t="shared" si="44"/>
        <v>Week 15</v>
      </c>
    </row>
    <row r="560" spans="1:18" x14ac:dyDescent="0.2">
      <c r="A560" s="11">
        <v>243786</v>
      </c>
      <c r="B560" s="2">
        <v>45394</v>
      </c>
      <c r="C560" t="s">
        <v>65</v>
      </c>
      <c r="D560" t="s">
        <v>66</v>
      </c>
      <c r="E560" t="s">
        <v>24</v>
      </c>
      <c r="F560" t="s">
        <v>25</v>
      </c>
      <c r="H560" t="s">
        <v>67</v>
      </c>
      <c r="I560" t="s">
        <v>800</v>
      </c>
      <c r="J560" t="s">
        <v>801</v>
      </c>
      <c r="K560" t="s">
        <v>802</v>
      </c>
      <c r="L560" t="s">
        <v>70</v>
      </c>
      <c r="N560">
        <f t="shared" si="40"/>
        <v>15</v>
      </c>
      <c r="O560">
        <f t="shared" si="41"/>
        <v>4</v>
      </c>
      <c r="P560" t="str">
        <f t="shared" si="42"/>
        <v>Observed Better</v>
      </c>
      <c r="Q560" t="str">
        <f t="shared" si="43"/>
        <v>April</v>
      </c>
      <c r="R560" t="str">
        <f t="shared" si="44"/>
        <v>Week 15</v>
      </c>
    </row>
    <row r="561" spans="1:18" x14ac:dyDescent="0.2">
      <c r="A561" s="11">
        <v>243787</v>
      </c>
      <c r="B561" s="2">
        <v>45394</v>
      </c>
      <c r="C561" t="s">
        <v>65</v>
      </c>
      <c r="D561" t="s">
        <v>66</v>
      </c>
      <c r="E561" t="s">
        <v>16</v>
      </c>
      <c r="F561" t="s">
        <v>19</v>
      </c>
      <c r="H561" t="s">
        <v>67</v>
      </c>
      <c r="I561" t="s">
        <v>803</v>
      </c>
      <c r="J561" t="s">
        <v>801</v>
      </c>
      <c r="K561" t="s">
        <v>802</v>
      </c>
      <c r="L561" t="s">
        <v>77</v>
      </c>
      <c r="N561">
        <f t="shared" si="40"/>
        <v>15</v>
      </c>
      <c r="O561">
        <f t="shared" si="41"/>
        <v>4</v>
      </c>
      <c r="P561" t="str">
        <f t="shared" si="42"/>
        <v>Provided Guidance</v>
      </c>
      <c r="Q561" t="str">
        <f t="shared" si="43"/>
        <v>April</v>
      </c>
      <c r="R561" t="str">
        <f t="shared" si="44"/>
        <v>Week 15</v>
      </c>
    </row>
    <row r="562" spans="1:18" x14ac:dyDescent="0.2">
      <c r="A562" s="11">
        <v>243788</v>
      </c>
      <c r="B562" s="2">
        <v>45394</v>
      </c>
      <c r="C562" t="s">
        <v>65</v>
      </c>
      <c r="D562" t="s">
        <v>66</v>
      </c>
      <c r="E562" t="s">
        <v>16</v>
      </c>
      <c r="F562" t="s">
        <v>71</v>
      </c>
      <c r="H562" t="s">
        <v>67</v>
      </c>
      <c r="I562" t="s">
        <v>804</v>
      </c>
      <c r="J562" t="s">
        <v>801</v>
      </c>
      <c r="K562" t="s">
        <v>802</v>
      </c>
      <c r="L562" t="s">
        <v>70</v>
      </c>
      <c r="N562">
        <f t="shared" si="40"/>
        <v>15</v>
      </c>
      <c r="O562">
        <f t="shared" si="41"/>
        <v>4</v>
      </c>
      <c r="P562" t="str">
        <f t="shared" si="42"/>
        <v>Observed Better</v>
      </c>
      <c r="Q562" t="str">
        <f t="shared" si="43"/>
        <v>April</v>
      </c>
      <c r="R562" t="str">
        <f t="shared" si="44"/>
        <v>Week 15</v>
      </c>
    </row>
    <row r="563" spans="1:18" x14ac:dyDescent="0.2">
      <c r="A563" s="11">
        <v>243789</v>
      </c>
      <c r="B563" s="2">
        <v>45395</v>
      </c>
      <c r="C563" t="s">
        <v>65</v>
      </c>
      <c r="D563" t="s">
        <v>66</v>
      </c>
      <c r="E563" t="s">
        <v>20</v>
      </c>
      <c r="F563" t="s">
        <v>21</v>
      </c>
      <c r="G563" t="s">
        <v>73</v>
      </c>
      <c r="H563" t="s">
        <v>67</v>
      </c>
      <c r="I563" t="s">
        <v>805</v>
      </c>
      <c r="J563" t="s">
        <v>115</v>
      </c>
      <c r="K563" t="s">
        <v>116</v>
      </c>
      <c r="L563" t="s">
        <v>70</v>
      </c>
      <c r="N563">
        <f t="shared" si="40"/>
        <v>15</v>
      </c>
      <c r="O563">
        <f t="shared" si="41"/>
        <v>4</v>
      </c>
      <c r="P563" t="str">
        <f t="shared" si="42"/>
        <v>Observed Better</v>
      </c>
      <c r="Q563" t="str">
        <f t="shared" si="43"/>
        <v>April</v>
      </c>
      <c r="R563" t="str">
        <f t="shared" si="44"/>
        <v>Week 15</v>
      </c>
    </row>
    <row r="564" spans="1:18" x14ac:dyDescent="0.2">
      <c r="A564" s="11">
        <v>243790</v>
      </c>
      <c r="B564" s="2">
        <v>45395</v>
      </c>
      <c r="C564" t="s">
        <v>65</v>
      </c>
      <c r="D564" t="s">
        <v>66</v>
      </c>
      <c r="E564" t="s">
        <v>8</v>
      </c>
      <c r="F564" t="s">
        <v>9</v>
      </c>
      <c r="G564" t="s">
        <v>528</v>
      </c>
      <c r="H564" t="s">
        <v>67</v>
      </c>
      <c r="I564" t="s">
        <v>806</v>
      </c>
      <c r="J564" t="s">
        <v>115</v>
      </c>
      <c r="K564" t="s">
        <v>116</v>
      </c>
      <c r="L564" t="s">
        <v>77</v>
      </c>
      <c r="N564">
        <f t="shared" si="40"/>
        <v>15</v>
      </c>
      <c r="O564">
        <f t="shared" si="41"/>
        <v>4</v>
      </c>
      <c r="P564" t="str">
        <f t="shared" si="42"/>
        <v>Provided Guidance</v>
      </c>
      <c r="Q564" t="str">
        <f t="shared" si="43"/>
        <v>April</v>
      </c>
      <c r="R564" t="str">
        <f t="shared" si="44"/>
        <v>Week 15</v>
      </c>
    </row>
    <row r="565" spans="1:18" x14ac:dyDescent="0.2">
      <c r="A565" s="11">
        <v>243791</v>
      </c>
      <c r="B565" s="2">
        <v>45396</v>
      </c>
      <c r="C565" t="s">
        <v>65</v>
      </c>
      <c r="D565" t="s">
        <v>66</v>
      </c>
      <c r="E565" t="s">
        <v>11</v>
      </c>
      <c r="F565" t="s">
        <v>134</v>
      </c>
      <c r="G565" t="s">
        <v>135</v>
      </c>
      <c r="H565" t="s">
        <v>67</v>
      </c>
      <c r="I565" t="s">
        <v>807</v>
      </c>
      <c r="J565" t="s">
        <v>115</v>
      </c>
      <c r="K565" t="s">
        <v>116</v>
      </c>
      <c r="L565" t="s">
        <v>70</v>
      </c>
      <c r="N565">
        <f t="shared" si="40"/>
        <v>16</v>
      </c>
      <c r="O565">
        <f t="shared" si="41"/>
        <v>4</v>
      </c>
      <c r="P565" t="str">
        <f t="shared" si="42"/>
        <v>Observed Better</v>
      </c>
      <c r="Q565" t="str">
        <f t="shared" si="43"/>
        <v>April</v>
      </c>
      <c r="R565" t="str">
        <f t="shared" si="44"/>
        <v>Week 16</v>
      </c>
    </row>
    <row r="566" spans="1:18" x14ac:dyDescent="0.2">
      <c r="A566" s="11">
        <v>243810</v>
      </c>
      <c r="B566" s="2">
        <v>45399</v>
      </c>
      <c r="C566" t="s">
        <v>65</v>
      </c>
      <c r="D566" t="s">
        <v>66</v>
      </c>
      <c r="E566" t="s">
        <v>8</v>
      </c>
      <c r="F566" t="s">
        <v>9</v>
      </c>
      <c r="G566" t="s">
        <v>203</v>
      </c>
      <c r="H566" t="s">
        <v>67</v>
      </c>
      <c r="I566" t="s">
        <v>808</v>
      </c>
      <c r="J566" t="s">
        <v>110</v>
      </c>
      <c r="K566" t="s">
        <v>111</v>
      </c>
      <c r="L566" t="s">
        <v>70</v>
      </c>
      <c r="N566">
        <f t="shared" si="40"/>
        <v>16</v>
      </c>
      <c r="O566">
        <f t="shared" si="41"/>
        <v>4</v>
      </c>
      <c r="P566" t="str">
        <f t="shared" si="42"/>
        <v>Observed Better</v>
      </c>
      <c r="Q566" t="str">
        <f t="shared" si="43"/>
        <v>April</v>
      </c>
      <c r="R566" t="str">
        <f t="shared" si="44"/>
        <v>Week 16</v>
      </c>
    </row>
    <row r="567" spans="1:18" x14ac:dyDescent="0.2">
      <c r="A567" s="11">
        <v>243811</v>
      </c>
      <c r="B567" s="2">
        <v>45399</v>
      </c>
      <c r="C567" t="s">
        <v>65</v>
      </c>
      <c r="D567" t="s">
        <v>66</v>
      </c>
      <c r="E567" t="s">
        <v>8</v>
      </c>
      <c r="F567" t="s">
        <v>9</v>
      </c>
      <c r="G567" t="s">
        <v>203</v>
      </c>
      <c r="H567" t="s">
        <v>67</v>
      </c>
      <c r="I567" t="s">
        <v>809</v>
      </c>
      <c r="J567" t="s">
        <v>110</v>
      </c>
      <c r="K567" t="s">
        <v>111</v>
      </c>
      <c r="L567" t="s">
        <v>77</v>
      </c>
      <c r="N567">
        <f t="shared" si="40"/>
        <v>16</v>
      </c>
      <c r="O567">
        <f t="shared" si="41"/>
        <v>4</v>
      </c>
      <c r="P567" t="str">
        <f t="shared" si="42"/>
        <v>Provided Guidance</v>
      </c>
      <c r="Q567" t="str">
        <f t="shared" si="43"/>
        <v>April</v>
      </c>
      <c r="R567" t="str">
        <f t="shared" si="44"/>
        <v>Week 16</v>
      </c>
    </row>
    <row r="568" spans="1:18" x14ac:dyDescent="0.2">
      <c r="A568" s="11">
        <v>243812</v>
      </c>
      <c r="B568" s="2">
        <v>45399</v>
      </c>
      <c r="C568" t="s">
        <v>65</v>
      </c>
      <c r="D568" t="s">
        <v>66</v>
      </c>
      <c r="E568" t="s">
        <v>8</v>
      </c>
      <c r="F568" t="s">
        <v>9</v>
      </c>
      <c r="G568" t="s">
        <v>203</v>
      </c>
      <c r="H568" t="s">
        <v>67</v>
      </c>
      <c r="I568" t="s">
        <v>810</v>
      </c>
      <c r="J568" t="s">
        <v>110</v>
      </c>
      <c r="K568" t="s">
        <v>111</v>
      </c>
      <c r="L568" t="s">
        <v>77</v>
      </c>
      <c r="N568">
        <f t="shared" si="40"/>
        <v>16</v>
      </c>
      <c r="O568">
        <f t="shared" si="41"/>
        <v>4</v>
      </c>
      <c r="P568" t="str">
        <f t="shared" si="42"/>
        <v>Provided Guidance</v>
      </c>
      <c r="Q568" t="str">
        <f t="shared" si="43"/>
        <v>April</v>
      </c>
      <c r="R568" t="str">
        <f t="shared" si="44"/>
        <v>Week 16</v>
      </c>
    </row>
    <row r="569" spans="1:18" x14ac:dyDescent="0.2">
      <c r="A569" s="11">
        <v>243813</v>
      </c>
      <c r="B569" s="2">
        <v>45399</v>
      </c>
      <c r="C569" t="s">
        <v>65</v>
      </c>
      <c r="D569" t="s">
        <v>66</v>
      </c>
      <c r="E569" t="s">
        <v>8</v>
      </c>
      <c r="F569" t="s">
        <v>9</v>
      </c>
      <c r="G569" t="s">
        <v>203</v>
      </c>
      <c r="H569" t="s">
        <v>67</v>
      </c>
      <c r="I569" t="s">
        <v>811</v>
      </c>
      <c r="J569" t="s">
        <v>110</v>
      </c>
      <c r="K569" t="s">
        <v>111</v>
      </c>
      <c r="L569" t="s">
        <v>70</v>
      </c>
      <c r="N569">
        <f t="shared" si="40"/>
        <v>16</v>
      </c>
      <c r="O569">
        <f t="shared" si="41"/>
        <v>4</v>
      </c>
      <c r="P569" t="str">
        <f t="shared" si="42"/>
        <v>Observed Better</v>
      </c>
      <c r="Q569" t="str">
        <f t="shared" si="43"/>
        <v>April</v>
      </c>
      <c r="R569" t="str">
        <f t="shared" si="44"/>
        <v>Week 16</v>
      </c>
    </row>
    <row r="570" spans="1:18" x14ac:dyDescent="0.2">
      <c r="A570" s="11">
        <v>243814</v>
      </c>
      <c r="B570" s="2">
        <v>45399</v>
      </c>
      <c r="C570" t="s">
        <v>65</v>
      </c>
      <c r="D570" t="s">
        <v>66</v>
      </c>
      <c r="E570" t="s">
        <v>8</v>
      </c>
      <c r="F570" t="s">
        <v>9</v>
      </c>
      <c r="G570" t="s">
        <v>203</v>
      </c>
      <c r="H570" t="s">
        <v>67</v>
      </c>
      <c r="I570" t="s">
        <v>812</v>
      </c>
      <c r="J570" t="s">
        <v>110</v>
      </c>
      <c r="K570" t="s">
        <v>111</v>
      </c>
      <c r="L570" t="s">
        <v>77</v>
      </c>
      <c r="N570">
        <f t="shared" si="40"/>
        <v>16</v>
      </c>
      <c r="O570">
        <f t="shared" si="41"/>
        <v>4</v>
      </c>
      <c r="P570" t="str">
        <f t="shared" si="42"/>
        <v>Provided Guidance</v>
      </c>
      <c r="Q570" t="str">
        <f t="shared" si="43"/>
        <v>April</v>
      </c>
      <c r="R570" t="str">
        <f t="shared" si="44"/>
        <v>Week 16</v>
      </c>
    </row>
    <row r="571" spans="1:18" x14ac:dyDescent="0.2">
      <c r="A571" s="11">
        <v>243815</v>
      </c>
      <c r="B571" s="2">
        <v>45399</v>
      </c>
      <c r="C571" t="s">
        <v>65</v>
      </c>
      <c r="D571" t="s">
        <v>66</v>
      </c>
      <c r="E571" t="s">
        <v>8</v>
      </c>
      <c r="F571" t="s">
        <v>9</v>
      </c>
      <c r="G571" t="s">
        <v>203</v>
      </c>
      <c r="H571" t="s">
        <v>67</v>
      </c>
      <c r="I571" t="s">
        <v>813</v>
      </c>
      <c r="J571" t="s">
        <v>110</v>
      </c>
      <c r="K571" t="s">
        <v>111</v>
      </c>
      <c r="L571" t="s">
        <v>77</v>
      </c>
      <c r="N571">
        <f t="shared" si="40"/>
        <v>16</v>
      </c>
      <c r="O571">
        <f t="shared" si="41"/>
        <v>4</v>
      </c>
      <c r="P571" t="str">
        <f t="shared" si="42"/>
        <v>Provided Guidance</v>
      </c>
      <c r="Q571" t="str">
        <f t="shared" si="43"/>
        <v>April</v>
      </c>
      <c r="R571" t="str">
        <f t="shared" si="44"/>
        <v>Week 16</v>
      </c>
    </row>
    <row r="572" spans="1:18" x14ac:dyDescent="0.2">
      <c r="A572" s="11">
        <v>243816</v>
      </c>
      <c r="B572" s="2">
        <v>45399</v>
      </c>
      <c r="C572" t="s">
        <v>65</v>
      </c>
      <c r="D572" t="s">
        <v>66</v>
      </c>
      <c r="E572" t="s">
        <v>8</v>
      </c>
      <c r="F572" t="s">
        <v>9</v>
      </c>
      <c r="G572" t="s">
        <v>203</v>
      </c>
      <c r="H572" t="s">
        <v>67</v>
      </c>
      <c r="I572" t="s">
        <v>814</v>
      </c>
      <c r="J572" t="s">
        <v>110</v>
      </c>
      <c r="K572" t="s">
        <v>111</v>
      </c>
      <c r="L572" t="s">
        <v>77</v>
      </c>
      <c r="N572">
        <f t="shared" si="40"/>
        <v>16</v>
      </c>
      <c r="O572">
        <f t="shared" si="41"/>
        <v>4</v>
      </c>
      <c r="P572" t="str">
        <f t="shared" si="42"/>
        <v>Provided Guidance</v>
      </c>
      <c r="Q572" t="str">
        <f t="shared" si="43"/>
        <v>April</v>
      </c>
      <c r="R572" t="str">
        <f t="shared" si="44"/>
        <v>Week 16</v>
      </c>
    </row>
    <row r="573" spans="1:18" x14ac:dyDescent="0.2">
      <c r="A573" s="11">
        <v>243817</v>
      </c>
      <c r="B573" s="2">
        <v>45399</v>
      </c>
      <c r="C573" t="s">
        <v>65</v>
      </c>
      <c r="D573" t="s">
        <v>66</v>
      </c>
      <c r="E573" t="s">
        <v>20</v>
      </c>
      <c r="F573" t="s">
        <v>21</v>
      </c>
      <c r="G573" t="s">
        <v>22</v>
      </c>
      <c r="H573" t="s">
        <v>67</v>
      </c>
      <c r="I573" t="s">
        <v>815</v>
      </c>
      <c r="J573" t="s">
        <v>759</v>
      </c>
      <c r="K573" t="s">
        <v>760</v>
      </c>
      <c r="L573" t="s">
        <v>70</v>
      </c>
      <c r="N573">
        <f t="shared" si="40"/>
        <v>16</v>
      </c>
      <c r="O573">
        <f t="shared" si="41"/>
        <v>4</v>
      </c>
      <c r="P573" t="str">
        <f t="shared" si="42"/>
        <v>Observed Better</v>
      </c>
      <c r="Q573" t="str">
        <f t="shared" si="43"/>
        <v>April</v>
      </c>
      <c r="R573" t="str">
        <f t="shared" si="44"/>
        <v>Week 16</v>
      </c>
    </row>
    <row r="574" spans="1:18" x14ac:dyDescent="0.2">
      <c r="A574" s="11">
        <v>243818</v>
      </c>
      <c r="B574" s="2">
        <v>45399</v>
      </c>
      <c r="C574" t="s">
        <v>65</v>
      </c>
      <c r="D574" t="s">
        <v>66</v>
      </c>
      <c r="E574" t="s">
        <v>20</v>
      </c>
      <c r="F574" t="s">
        <v>21</v>
      </c>
      <c r="G574" t="s">
        <v>22</v>
      </c>
      <c r="H574" t="s">
        <v>67</v>
      </c>
      <c r="I574" t="s">
        <v>816</v>
      </c>
      <c r="J574" t="s">
        <v>759</v>
      </c>
      <c r="K574" t="s">
        <v>760</v>
      </c>
      <c r="L574" t="s">
        <v>70</v>
      </c>
      <c r="N574">
        <f t="shared" si="40"/>
        <v>16</v>
      </c>
      <c r="O574">
        <f t="shared" si="41"/>
        <v>4</v>
      </c>
      <c r="P574" t="str">
        <f t="shared" si="42"/>
        <v>Observed Better</v>
      </c>
      <c r="Q574" t="str">
        <f t="shared" si="43"/>
        <v>April</v>
      </c>
      <c r="R574" t="str">
        <f t="shared" si="44"/>
        <v>Week 16</v>
      </c>
    </row>
    <row r="575" spans="1:18" x14ac:dyDescent="0.2">
      <c r="A575" s="11">
        <v>243819</v>
      </c>
      <c r="B575" s="2">
        <v>45399</v>
      </c>
      <c r="C575" t="s">
        <v>65</v>
      </c>
      <c r="D575" t="s">
        <v>66</v>
      </c>
      <c r="E575" t="s">
        <v>20</v>
      </c>
      <c r="F575" t="s">
        <v>21</v>
      </c>
      <c r="G575" t="s">
        <v>22</v>
      </c>
      <c r="H575" t="s">
        <v>67</v>
      </c>
      <c r="I575" t="s">
        <v>817</v>
      </c>
      <c r="J575" t="s">
        <v>759</v>
      </c>
      <c r="K575" t="s">
        <v>760</v>
      </c>
      <c r="L575" t="s">
        <v>70</v>
      </c>
      <c r="N575">
        <f t="shared" si="40"/>
        <v>16</v>
      </c>
      <c r="O575">
        <f t="shared" si="41"/>
        <v>4</v>
      </c>
      <c r="P575" t="str">
        <f t="shared" si="42"/>
        <v>Observed Better</v>
      </c>
      <c r="Q575" t="str">
        <f t="shared" si="43"/>
        <v>April</v>
      </c>
      <c r="R575" t="str">
        <f t="shared" si="44"/>
        <v>Week 16</v>
      </c>
    </row>
    <row r="576" spans="1:18" x14ac:dyDescent="0.2">
      <c r="A576" s="11">
        <v>243820</v>
      </c>
      <c r="B576" s="2">
        <v>45399</v>
      </c>
      <c r="C576" t="s">
        <v>65</v>
      </c>
      <c r="D576" t="s">
        <v>66</v>
      </c>
      <c r="E576" t="s">
        <v>20</v>
      </c>
      <c r="F576" t="s">
        <v>21</v>
      </c>
      <c r="G576" t="s">
        <v>22</v>
      </c>
      <c r="H576" t="s">
        <v>67</v>
      </c>
      <c r="I576" t="s">
        <v>818</v>
      </c>
      <c r="J576" t="s">
        <v>759</v>
      </c>
      <c r="K576" t="s">
        <v>760</v>
      </c>
      <c r="L576" t="s">
        <v>70</v>
      </c>
      <c r="N576">
        <f t="shared" si="40"/>
        <v>16</v>
      </c>
      <c r="O576">
        <f t="shared" si="41"/>
        <v>4</v>
      </c>
      <c r="P576" t="str">
        <f t="shared" si="42"/>
        <v>Observed Better</v>
      </c>
      <c r="Q576" t="str">
        <f t="shared" si="43"/>
        <v>April</v>
      </c>
      <c r="R576" t="str">
        <f t="shared" si="44"/>
        <v>Week 16</v>
      </c>
    </row>
    <row r="577" spans="1:18" x14ac:dyDescent="0.2">
      <c r="A577" s="11">
        <v>243824</v>
      </c>
      <c r="B577" s="2">
        <v>45400</v>
      </c>
      <c r="C577" t="s">
        <v>65</v>
      </c>
      <c r="D577" t="s">
        <v>66</v>
      </c>
      <c r="E577" t="s">
        <v>11</v>
      </c>
      <c r="F577" t="s">
        <v>131</v>
      </c>
      <c r="G577" t="s">
        <v>433</v>
      </c>
      <c r="H577" t="s">
        <v>67</v>
      </c>
      <c r="I577" t="s">
        <v>819</v>
      </c>
      <c r="J577" t="s">
        <v>37</v>
      </c>
      <c r="K577" t="s">
        <v>69</v>
      </c>
      <c r="L577" t="s">
        <v>70</v>
      </c>
      <c r="N577">
        <f t="shared" si="40"/>
        <v>16</v>
      </c>
      <c r="O577">
        <f t="shared" si="41"/>
        <v>4</v>
      </c>
      <c r="P577" t="str">
        <f t="shared" si="42"/>
        <v>Observed Better</v>
      </c>
      <c r="Q577" t="str">
        <f t="shared" si="43"/>
        <v>April</v>
      </c>
      <c r="R577" t="str">
        <f t="shared" si="44"/>
        <v>Week 16</v>
      </c>
    </row>
    <row r="578" spans="1:18" x14ac:dyDescent="0.2">
      <c r="A578" s="11">
        <v>243825</v>
      </c>
      <c r="B578" s="2">
        <v>45400</v>
      </c>
      <c r="C578" t="s">
        <v>65</v>
      </c>
      <c r="D578" t="s">
        <v>66</v>
      </c>
      <c r="E578" t="s">
        <v>20</v>
      </c>
      <c r="F578" t="s">
        <v>10</v>
      </c>
      <c r="G578" t="s">
        <v>23</v>
      </c>
      <c r="H578" t="s">
        <v>67</v>
      </c>
      <c r="I578" t="s">
        <v>820</v>
      </c>
      <c r="J578" t="s">
        <v>125</v>
      </c>
      <c r="K578" t="s">
        <v>126</v>
      </c>
      <c r="L578" t="s">
        <v>70</v>
      </c>
      <c r="N578">
        <f t="shared" ref="N578:N641" si="45">IF(ISBLANK(B578)," ",WEEKNUM(B578))</f>
        <v>16</v>
      </c>
      <c r="O578">
        <f t="shared" ref="O578:O641" si="46">IF(ISBLANK(B578)," ",MONTH(B578))</f>
        <v>4</v>
      </c>
      <c r="P578" t="str">
        <f t="shared" ref="P578:P641" si="47">IF(ISNUMBER(SEARCH("provided",L578)),"Provided Guidance","Observed Better")</f>
        <v>Observed Better</v>
      </c>
      <c r="Q578" t="str">
        <f t="shared" ref="Q578:Q641" si="48">IF(O578=" "," ",TEXT(O578*29,"mmmm"))</f>
        <v>April</v>
      </c>
      <c r="R578" t="str">
        <f t="shared" ref="R578:R641" si="49">IF(N578=" "," ",_xlfn.CONCAT("Week ",+TEXT(N578,"0")))</f>
        <v>Week 16</v>
      </c>
    </row>
    <row r="579" spans="1:18" x14ac:dyDescent="0.2">
      <c r="A579" s="11">
        <v>243826</v>
      </c>
      <c r="B579" s="2">
        <v>45400</v>
      </c>
      <c r="C579" t="s">
        <v>65</v>
      </c>
      <c r="D579" t="s">
        <v>66</v>
      </c>
      <c r="E579" t="s">
        <v>16</v>
      </c>
      <c r="F579" t="s">
        <v>227</v>
      </c>
      <c r="H579" t="s">
        <v>67</v>
      </c>
      <c r="I579" t="s">
        <v>821</v>
      </c>
      <c r="J579" t="s">
        <v>772</v>
      </c>
      <c r="K579" t="s">
        <v>773</v>
      </c>
      <c r="L579" t="s">
        <v>70</v>
      </c>
      <c r="N579">
        <f t="shared" si="45"/>
        <v>16</v>
      </c>
      <c r="O579">
        <f t="shared" si="46"/>
        <v>4</v>
      </c>
      <c r="P579" t="str">
        <f t="shared" si="47"/>
        <v>Observed Better</v>
      </c>
      <c r="Q579" t="str">
        <f t="shared" si="48"/>
        <v>April</v>
      </c>
      <c r="R579" t="str">
        <f t="shared" si="49"/>
        <v>Week 16</v>
      </c>
    </row>
    <row r="580" spans="1:18" x14ac:dyDescent="0.2">
      <c r="A580" s="11">
        <v>243827</v>
      </c>
      <c r="B580" s="2">
        <v>45400</v>
      </c>
      <c r="C580" t="s">
        <v>65</v>
      </c>
      <c r="D580" t="s">
        <v>66</v>
      </c>
      <c r="E580" t="s">
        <v>16</v>
      </c>
      <c r="F580" t="s">
        <v>227</v>
      </c>
      <c r="H580" t="s">
        <v>67</v>
      </c>
      <c r="I580" t="s">
        <v>822</v>
      </c>
      <c r="J580" t="s">
        <v>772</v>
      </c>
      <c r="K580" t="s">
        <v>773</v>
      </c>
      <c r="L580" t="s">
        <v>70</v>
      </c>
      <c r="N580">
        <f t="shared" si="45"/>
        <v>16</v>
      </c>
      <c r="O580">
        <f t="shared" si="46"/>
        <v>4</v>
      </c>
      <c r="P580" t="str">
        <f t="shared" si="47"/>
        <v>Observed Better</v>
      </c>
      <c r="Q580" t="str">
        <f t="shared" si="48"/>
        <v>April</v>
      </c>
      <c r="R580" t="str">
        <f t="shared" si="49"/>
        <v>Week 16</v>
      </c>
    </row>
    <row r="581" spans="1:18" x14ac:dyDescent="0.2">
      <c r="A581" s="11">
        <v>243828</v>
      </c>
      <c r="B581" s="2">
        <v>45400</v>
      </c>
      <c r="C581" t="s">
        <v>65</v>
      </c>
      <c r="D581" t="s">
        <v>66</v>
      </c>
      <c r="E581" t="s">
        <v>16</v>
      </c>
      <c r="F581" t="s">
        <v>227</v>
      </c>
      <c r="H581" t="s">
        <v>67</v>
      </c>
      <c r="I581" t="s">
        <v>823</v>
      </c>
      <c r="J581" t="s">
        <v>772</v>
      </c>
      <c r="K581" t="s">
        <v>773</v>
      </c>
      <c r="L581" t="s">
        <v>70</v>
      </c>
      <c r="N581">
        <f t="shared" si="45"/>
        <v>16</v>
      </c>
      <c r="O581">
        <f t="shared" si="46"/>
        <v>4</v>
      </c>
      <c r="P581" t="str">
        <f t="shared" si="47"/>
        <v>Observed Better</v>
      </c>
      <c r="Q581" t="str">
        <f t="shared" si="48"/>
        <v>April</v>
      </c>
      <c r="R581" t="str">
        <f t="shared" si="49"/>
        <v>Week 16</v>
      </c>
    </row>
    <row r="582" spans="1:18" x14ac:dyDescent="0.2">
      <c r="A582" s="11">
        <v>243829</v>
      </c>
      <c r="B582" s="2">
        <v>45400</v>
      </c>
      <c r="C582" t="s">
        <v>65</v>
      </c>
      <c r="D582" t="s">
        <v>66</v>
      </c>
      <c r="E582" t="s">
        <v>16</v>
      </c>
      <c r="F582" t="s">
        <v>227</v>
      </c>
      <c r="H582" t="s">
        <v>67</v>
      </c>
      <c r="I582" t="s">
        <v>824</v>
      </c>
      <c r="J582" t="s">
        <v>772</v>
      </c>
      <c r="K582" t="s">
        <v>773</v>
      </c>
      <c r="L582" t="s">
        <v>70</v>
      </c>
      <c r="N582">
        <f t="shared" si="45"/>
        <v>16</v>
      </c>
      <c r="O582">
        <f t="shared" si="46"/>
        <v>4</v>
      </c>
      <c r="P582" t="str">
        <f t="shared" si="47"/>
        <v>Observed Better</v>
      </c>
      <c r="Q582" t="str">
        <f t="shared" si="48"/>
        <v>April</v>
      </c>
      <c r="R582" t="str">
        <f t="shared" si="49"/>
        <v>Week 16</v>
      </c>
    </row>
    <row r="583" spans="1:18" x14ac:dyDescent="0.2">
      <c r="A583" s="11">
        <v>243830</v>
      </c>
      <c r="B583" s="2">
        <v>45400</v>
      </c>
      <c r="C583" t="s">
        <v>65</v>
      </c>
      <c r="D583" t="s">
        <v>66</v>
      </c>
      <c r="E583" t="s">
        <v>16</v>
      </c>
      <c r="F583" t="s">
        <v>94</v>
      </c>
      <c r="H583" t="s">
        <v>67</v>
      </c>
      <c r="I583" t="s">
        <v>825</v>
      </c>
      <c r="J583" t="s">
        <v>125</v>
      </c>
      <c r="K583" t="s">
        <v>126</v>
      </c>
      <c r="L583" t="s">
        <v>70</v>
      </c>
      <c r="N583">
        <f t="shared" si="45"/>
        <v>16</v>
      </c>
      <c r="O583">
        <f t="shared" si="46"/>
        <v>4</v>
      </c>
      <c r="P583" t="str">
        <f t="shared" si="47"/>
        <v>Observed Better</v>
      </c>
      <c r="Q583" t="str">
        <f t="shared" si="48"/>
        <v>April</v>
      </c>
      <c r="R583" t="str">
        <f t="shared" si="49"/>
        <v>Week 16</v>
      </c>
    </row>
    <row r="584" spans="1:18" x14ac:dyDescent="0.2">
      <c r="A584" s="11">
        <v>243831</v>
      </c>
      <c r="B584" s="2">
        <v>45400</v>
      </c>
      <c r="C584" t="s">
        <v>65</v>
      </c>
      <c r="D584" t="s">
        <v>66</v>
      </c>
      <c r="E584" t="s">
        <v>20</v>
      </c>
      <c r="F584" t="s">
        <v>21</v>
      </c>
      <c r="G584" t="s">
        <v>22</v>
      </c>
      <c r="H584" t="s">
        <v>67</v>
      </c>
      <c r="I584" t="s">
        <v>826</v>
      </c>
      <c r="J584" t="s">
        <v>39</v>
      </c>
      <c r="K584" t="s">
        <v>244</v>
      </c>
      <c r="L584" t="s">
        <v>70</v>
      </c>
      <c r="N584">
        <f t="shared" si="45"/>
        <v>16</v>
      </c>
      <c r="O584">
        <f t="shared" si="46"/>
        <v>4</v>
      </c>
      <c r="P584" t="str">
        <f t="shared" si="47"/>
        <v>Observed Better</v>
      </c>
      <c r="Q584" t="str">
        <f t="shared" si="48"/>
        <v>April</v>
      </c>
      <c r="R584" t="str">
        <f t="shared" si="49"/>
        <v>Week 16</v>
      </c>
    </row>
    <row r="585" spans="1:18" x14ac:dyDescent="0.2">
      <c r="A585" s="11">
        <v>243832</v>
      </c>
      <c r="B585" s="2">
        <v>45400</v>
      </c>
      <c r="C585" t="s">
        <v>65</v>
      </c>
      <c r="D585" t="s">
        <v>66</v>
      </c>
      <c r="E585" t="s">
        <v>11</v>
      </c>
      <c r="F585" t="s">
        <v>134</v>
      </c>
      <c r="G585" t="s">
        <v>135</v>
      </c>
      <c r="H585" t="s">
        <v>67</v>
      </c>
      <c r="I585" t="s">
        <v>827</v>
      </c>
      <c r="J585" t="s">
        <v>39</v>
      </c>
      <c r="K585" t="s">
        <v>244</v>
      </c>
      <c r="L585" t="s">
        <v>70</v>
      </c>
      <c r="N585">
        <f t="shared" si="45"/>
        <v>16</v>
      </c>
      <c r="O585">
        <f t="shared" si="46"/>
        <v>4</v>
      </c>
      <c r="P585" t="str">
        <f t="shared" si="47"/>
        <v>Observed Better</v>
      </c>
      <c r="Q585" t="str">
        <f t="shared" si="48"/>
        <v>April</v>
      </c>
      <c r="R585" t="str">
        <f t="shared" si="49"/>
        <v>Week 16</v>
      </c>
    </row>
    <row r="586" spans="1:18" x14ac:dyDescent="0.2">
      <c r="A586" s="11">
        <v>243833</v>
      </c>
      <c r="B586" s="2">
        <v>45400</v>
      </c>
      <c r="C586" t="s">
        <v>65</v>
      </c>
      <c r="D586" t="s">
        <v>66</v>
      </c>
      <c r="E586" t="s">
        <v>8</v>
      </c>
      <c r="F586" t="s">
        <v>9</v>
      </c>
      <c r="G586" t="s">
        <v>528</v>
      </c>
      <c r="H586" t="s">
        <v>67</v>
      </c>
      <c r="I586" t="s">
        <v>828</v>
      </c>
      <c r="J586" t="s">
        <v>125</v>
      </c>
      <c r="K586" t="s">
        <v>126</v>
      </c>
      <c r="L586" t="s">
        <v>70</v>
      </c>
      <c r="N586">
        <f t="shared" si="45"/>
        <v>16</v>
      </c>
      <c r="O586">
        <f t="shared" si="46"/>
        <v>4</v>
      </c>
      <c r="P586" t="str">
        <f t="shared" si="47"/>
        <v>Observed Better</v>
      </c>
      <c r="Q586" t="str">
        <f t="shared" si="48"/>
        <v>April</v>
      </c>
      <c r="R586" t="str">
        <f t="shared" si="49"/>
        <v>Week 16</v>
      </c>
    </row>
    <row r="587" spans="1:18" x14ac:dyDescent="0.2">
      <c r="A587" s="11">
        <v>243834</v>
      </c>
      <c r="B587" s="2">
        <v>45400</v>
      </c>
      <c r="C587" t="s">
        <v>65</v>
      </c>
      <c r="D587" t="s">
        <v>66</v>
      </c>
      <c r="E587" t="s">
        <v>11</v>
      </c>
      <c r="F587" t="s">
        <v>131</v>
      </c>
      <c r="G587" t="s">
        <v>11</v>
      </c>
      <c r="H587" t="s">
        <v>67</v>
      </c>
      <c r="I587" t="s">
        <v>829</v>
      </c>
      <c r="J587" t="s">
        <v>580</v>
      </c>
      <c r="K587" t="s">
        <v>581</v>
      </c>
      <c r="L587" t="s">
        <v>70</v>
      </c>
      <c r="N587">
        <f t="shared" si="45"/>
        <v>16</v>
      </c>
      <c r="O587">
        <f t="shared" si="46"/>
        <v>4</v>
      </c>
      <c r="P587" t="str">
        <f t="shared" si="47"/>
        <v>Observed Better</v>
      </c>
      <c r="Q587" t="str">
        <f t="shared" si="48"/>
        <v>April</v>
      </c>
      <c r="R587" t="str">
        <f t="shared" si="49"/>
        <v>Week 16</v>
      </c>
    </row>
    <row r="588" spans="1:18" x14ac:dyDescent="0.2">
      <c r="A588" s="11">
        <v>243835</v>
      </c>
      <c r="B588" s="2">
        <v>45400</v>
      </c>
      <c r="C588" t="s">
        <v>65</v>
      </c>
      <c r="D588" t="s">
        <v>66</v>
      </c>
      <c r="E588" t="s">
        <v>16</v>
      </c>
      <c r="F588" t="s">
        <v>162</v>
      </c>
      <c r="H588" t="s">
        <v>67</v>
      </c>
      <c r="I588" t="s">
        <v>830</v>
      </c>
      <c r="J588" t="s">
        <v>801</v>
      </c>
      <c r="K588" t="s">
        <v>802</v>
      </c>
      <c r="L588" t="s">
        <v>70</v>
      </c>
      <c r="N588">
        <f t="shared" si="45"/>
        <v>16</v>
      </c>
      <c r="O588">
        <f t="shared" si="46"/>
        <v>4</v>
      </c>
      <c r="P588" t="str">
        <f t="shared" si="47"/>
        <v>Observed Better</v>
      </c>
      <c r="Q588" t="str">
        <f t="shared" si="48"/>
        <v>April</v>
      </c>
      <c r="R588" t="str">
        <f t="shared" si="49"/>
        <v>Week 16</v>
      </c>
    </row>
    <row r="589" spans="1:18" x14ac:dyDescent="0.2">
      <c r="A589" s="11">
        <v>243836</v>
      </c>
      <c r="B589" s="2">
        <v>45400</v>
      </c>
      <c r="C589" t="s">
        <v>65</v>
      </c>
      <c r="D589" t="s">
        <v>66</v>
      </c>
      <c r="E589" t="s">
        <v>16</v>
      </c>
      <c r="F589" t="s">
        <v>162</v>
      </c>
      <c r="H589" t="s">
        <v>67</v>
      </c>
      <c r="I589" t="s">
        <v>830</v>
      </c>
      <c r="J589" t="s">
        <v>801</v>
      </c>
      <c r="K589" t="s">
        <v>802</v>
      </c>
      <c r="L589" t="s">
        <v>70</v>
      </c>
      <c r="N589">
        <f t="shared" si="45"/>
        <v>16</v>
      </c>
      <c r="O589">
        <f t="shared" si="46"/>
        <v>4</v>
      </c>
      <c r="P589" t="str">
        <f t="shared" si="47"/>
        <v>Observed Better</v>
      </c>
      <c r="Q589" t="str">
        <f t="shared" si="48"/>
        <v>April</v>
      </c>
      <c r="R589" t="str">
        <f t="shared" si="49"/>
        <v>Week 16</v>
      </c>
    </row>
    <row r="590" spans="1:18" ht="30" customHeight="1" x14ac:dyDescent="0.2">
      <c r="A590" s="11">
        <v>243837</v>
      </c>
      <c r="B590" s="2">
        <v>45400</v>
      </c>
      <c r="C590" t="s">
        <v>65</v>
      </c>
      <c r="D590" t="s">
        <v>66</v>
      </c>
      <c r="E590" t="s">
        <v>20</v>
      </c>
      <c r="F590" t="s">
        <v>21</v>
      </c>
      <c r="G590" t="s">
        <v>22</v>
      </c>
      <c r="H590" t="s">
        <v>67</v>
      </c>
      <c r="I590" t="s">
        <v>831</v>
      </c>
      <c r="J590" t="s">
        <v>41</v>
      </c>
      <c r="K590" t="s">
        <v>92</v>
      </c>
      <c r="L590" t="s">
        <v>77</v>
      </c>
      <c r="M590" s="8" t="s">
        <v>832</v>
      </c>
      <c r="N590">
        <f t="shared" si="45"/>
        <v>16</v>
      </c>
      <c r="O590">
        <f t="shared" si="46"/>
        <v>4</v>
      </c>
      <c r="P590" t="str">
        <f t="shared" si="47"/>
        <v>Provided Guidance</v>
      </c>
      <c r="Q590" t="str">
        <f t="shared" si="48"/>
        <v>April</v>
      </c>
      <c r="R590" t="str">
        <f t="shared" si="49"/>
        <v>Week 16</v>
      </c>
    </row>
    <row r="591" spans="1:18" ht="30" customHeight="1" x14ac:dyDescent="0.2">
      <c r="A591" s="11">
        <v>243838</v>
      </c>
      <c r="B591" s="2">
        <v>45400</v>
      </c>
      <c r="C591" t="s">
        <v>65</v>
      </c>
      <c r="D591" t="s">
        <v>66</v>
      </c>
      <c r="E591" t="s">
        <v>20</v>
      </c>
      <c r="F591" t="s">
        <v>21</v>
      </c>
      <c r="G591" t="s">
        <v>22</v>
      </c>
      <c r="H591" t="s">
        <v>67</v>
      </c>
      <c r="I591" t="s">
        <v>833</v>
      </c>
      <c r="J591" t="s">
        <v>834</v>
      </c>
      <c r="K591" t="s">
        <v>835</v>
      </c>
      <c r="L591" t="s">
        <v>77</v>
      </c>
      <c r="M591" s="8" t="s">
        <v>836</v>
      </c>
      <c r="N591">
        <f t="shared" si="45"/>
        <v>16</v>
      </c>
      <c r="O591">
        <f t="shared" si="46"/>
        <v>4</v>
      </c>
      <c r="P591" t="str">
        <f t="shared" si="47"/>
        <v>Provided Guidance</v>
      </c>
      <c r="Q591" t="str">
        <f t="shared" si="48"/>
        <v>April</v>
      </c>
      <c r="R591" t="str">
        <f t="shared" si="49"/>
        <v>Week 16</v>
      </c>
    </row>
    <row r="592" spans="1:18" x14ac:dyDescent="0.2">
      <c r="A592" s="11">
        <v>243839</v>
      </c>
      <c r="B592" s="2">
        <v>45400</v>
      </c>
      <c r="C592" t="s">
        <v>65</v>
      </c>
      <c r="D592" t="s">
        <v>66</v>
      </c>
      <c r="E592" t="s">
        <v>20</v>
      </c>
      <c r="F592" t="s">
        <v>21</v>
      </c>
      <c r="G592" t="s">
        <v>22</v>
      </c>
      <c r="H592" t="s">
        <v>67</v>
      </c>
      <c r="I592" t="s">
        <v>837</v>
      </c>
      <c r="J592" t="s">
        <v>801</v>
      </c>
      <c r="K592" t="s">
        <v>802</v>
      </c>
      <c r="L592" t="s">
        <v>70</v>
      </c>
      <c r="N592">
        <f t="shared" si="45"/>
        <v>16</v>
      </c>
      <c r="O592">
        <f t="shared" si="46"/>
        <v>4</v>
      </c>
      <c r="P592" t="str">
        <f t="shared" si="47"/>
        <v>Observed Better</v>
      </c>
      <c r="Q592" t="str">
        <f t="shared" si="48"/>
        <v>April</v>
      </c>
      <c r="R592" t="str">
        <f t="shared" si="49"/>
        <v>Week 16</v>
      </c>
    </row>
    <row r="593" spans="1:18" x14ac:dyDescent="0.2">
      <c r="A593" s="11">
        <v>243840</v>
      </c>
      <c r="B593" s="2">
        <v>45400</v>
      </c>
      <c r="C593" t="s">
        <v>65</v>
      </c>
      <c r="D593" t="s">
        <v>66</v>
      </c>
      <c r="E593" t="s">
        <v>20</v>
      </c>
      <c r="F593" t="s">
        <v>21</v>
      </c>
      <c r="G593" t="s">
        <v>22</v>
      </c>
      <c r="H593" t="s">
        <v>67</v>
      </c>
      <c r="I593" t="s">
        <v>837</v>
      </c>
      <c r="J593" t="s">
        <v>801</v>
      </c>
      <c r="K593" t="s">
        <v>802</v>
      </c>
      <c r="L593" t="s">
        <v>70</v>
      </c>
      <c r="N593">
        <f t="shared" si="45"/>
        <v>16</v>
      </c>
      <c r="O593">
        <f t="shared" si="46"/>
        <v>4</v>
      </c>
      <c r="P593" t="str">
        <f t="shared" si="47"/>
        <v>Observed Better</v>
      </c>
      <c r="Q593" t="str">
        <f t="shared" si="48"/>
        <v>April</v>
      </c>
      <c r="R593" t="str">
        <f t="shared" si="49"/>
        <v>Week 16</v>
      </c>
    </row>
    <row r="594" spans="1:18" x14ac:dyDescent="0.2">
      <c r="A594" s="11">
        <v>243841</v>
      </c>
      <c r="B594" s="2">
        <v>45400</v>
      </c>
      <c r="C594" t="s">
        <v>65</v>
      </c>
      <c r="D594" t="s">
        <v>66</v>
      </c>
      <c r="E594" t="s">
        <v>20</v>
      </c>
      <c r="F594" t="s">
        <v>10</v>
      </c>
      <c r="G594" t="s">
        <v>23</v>
      </c>
      <c r="H594" t="s">
        <v>67</v>
      </c>
      <c r="I594" t="s">
        <v>838</v>
      </c>
      <c r="J594" t="s">
        <v>801</v>
      </c>
      <c r="K594" t="s">
        <v>802</v>
      </c>
      <c r="L594" t="s">
        <v>70</v>
      </c>
      <c r="N594">
        <f t="shared" si="45"/>
        <v>16</v>
      </c>
      <c r="O594">
        <f t="shared" si="46"/>
        <v>4</v>
      </c>
      <c r="P594" t="str">
        <f t="shared" si="47"/>
        <v>Observed Better</v>
      </c>
      <c r="Q594" t="str">
        <f t="shared" si="48"/>
        <v>April</v>
      </c>
      <c r="R594" t="str">
        <f t="shared" si="49"/>
        <v>Week 16</v>
      </c>
    </row>
    <row r="595" spans="1:18" x14ac:dyDescent="0.2">
      <c r="A595" s="11">
        <v>243842</v>
      </c>
      <c r="B595" s="2">
        <v>45400</v>
      </c>
      <c r="C595" t="s">
        <v>65</v>
      </c>
      <c r="D595" t="s">
        <v>66</v>
      </c>
      <c r="E595" t="s">
        <v>20</v>
      </c>
      <c r="F595" t="s">
        <v>10</v>
      </c>
      <c r="G595" t="s">
        <v>23</v>
      </c>
      <c r="H595" t="s">
        <v>67</v>
      </c>
      <c r="I595" t="s">
        <v>838</v>
      </c>
      <c r="J595" t="s">
        <v>801</v>
      </c>
      <c r="K595" t="s">
        <v>802</v>
      </c>
      <c r="L595" t="s">
        <v>70</v>
      </c>
      <c r="N595">
        <f t="shared" si="45"/>
        <v>16</v>
      </c>
      <c r="O595">
        <f t="shared" si="46"/>
        <v>4</v>
      </c>
      <c r="P595" t="str">
        <f t="shared" si="47"/>
        <v>Observed Better</v>
      </c>
      <c r="Q595" t="str">
        <f t="shared" si="48"/>
        <v>April</v>
      </c>
      <c r="R595" t="str">
        <f t="shared" si="49"/>
        <v>Week 16</v>
      </c>
    </row>
    <row r="596" spans="1:18" x14ac:dyDescent="0.2">
      <c r="A596" s="11">
        <v>243843</v>
      </c>
      <c r="B596" s="2">
        <v>45400</v>
      </c>
      <c r="C596" t="s">
        <v>65</v>
      </c>
      <c r="D596" t="s">
        <v>66</v>
      </c>
      <c r="E596" t="s">
        <v>8</v>
      </c>
      <c r="F596" t="s">
        <v>9</v>
      </c>
      <c r="G596" t="s">
        <v>203</v>
      </c>
      <c r="H596" t="s">
        <v>67</v>
      </c>
      <c r="I596" t="s">
        <v>839</v>
      </c>
      <c r="J596" t="s">
        <v>801</v>
      </c>
      <c r="K596" t="s">
        <v>802</v>
      </c>
      <c r="L596" t="s">
        <v>70</v>
      </c>
      <c r="N596">
        <f t="shared" si="45"/>
        <v>16</v>
      </c>
      <c r="O596">
        <f t="shared" si="46"/>
        <v>4</v>
      </c>
      <c r="P596" t="str">
        <f t="shared" si="47"/>
        <v>Observed Better</v>
      </c>
      <c r="Q596" t="str">
        <f t="shared" si="48"/>
        <v>April</v>
      </c>
      <c r="R596" t="str">
        <f t="shared" si="49"/>
        <v>Week 16</v>
      </c>
    </row>
    <row r="597" spans="1:18" x14ac:dyDescent="0.2">
      <c r="A597" s="11">
        <v>243844</v>
      </c>
      <c r="B597" s="2">
        <v>45400</v>
      </c>
      <c r="C597" t="s">
        <v>65</v>
      </c>
      <c r="D597" t="s">
        <v>66</v>
      </c>
      <c r="E597" t="s">
        <v>8</v>
      </c>
      <c r="F597" t="s">
        <v>9</v>
      </c>
      <c r="G597" t="s">
        <v>203</v>
      </c>
      <c r="H597" t="s">
        <v>67</v>
      </c>
      <c r="I597" t="s">
        <v>839</v>
      </c>
      <c r="J597" t="s">
        <v>801</v>
      </c>
      <c r="K597" t="s">
        <v>802</v>
      </c>
      <c r="L597" t="s">
        <v>70</v>
      </c>
      <c r="N597">
        <f t="shared" si="45"/>
        <v>16</v>
      </c>
      <c r="O597">
        <f t="shared" si="46"/>
        <v>4</v>
      </c>
      <c r="P597" t="str">
        <f t="shared" si="47"/>
        <v>Observed Better</v>
      </c>
      <c r="Q597" t="str">
        <f t="shared" si="48"/>
        <v>April</v>
      </c>
      <c r="R597" t="str">
        <f t="shared" si="49"/>
        <v>Week 16</v>
      </c>
    </row>
    <row r="598" spans="1:18" x14ac:dyDescent="0.2">
      <c r="A598" s="11">
        <v>243847</v>
      </c>
      <c r="B598" s="2">
        <v>45400</v>
      </c>
      <c r="C598" t="s">
        <v>65</v>
      </c>
      <c r="D598" t="s">
        <v>66</v>
      </c>
      <c r="E598" t="s">
        <v>16</v>
      </c>
      <c r="F598" t="s">
        <v>19</v>
      </c>
      <c r="H598" t="s">
        <v>67</v>
      </c>
      <c r="I598" t="s">
        <v>840</v>
      </c>
      <c r="J598" t="s">
        <v>455</v>
      </c>
      <c r="K598" t="s">
        <v>456</v>
      </c>
      <c r="L598" t="s">
        <v>70</v>
      </c>
      <c r="N598">
        <f t="shared" si="45"/>
        <v>16</v>
      </c>
      <c r="O598">
        <f t="shared" si="46"/>
        <v>4</v>
      </c>
      <c r="P598" t="str">
        <f t="shared" si="47"/>
        <v>Observed Better</v>
      </c>
      <c r="Q598" t="str">
        <f t="shared" si="48"/>
        <v>April</v>
      </c>
      <c r="R598" t="str">
        <f t="shared" si="49"/>
        <v>Week 16</v>
      </c>
    </row>
    <row r="599" spans="1:18" x14ac:dyDescent="0.2">
      <c r="A599" s="11">
        <v>243848</v>
      </c>
      <c r="B599" s="2">
        <v>45400</v>
      </c>
      <c r="C599" t="s">
        <v>65</v>
      </c>
      <c r="D599" t="s">
        <v>66</v>
      </c>
      <c r="E599" t="s">
        <v>20</v>
      </c>
      <c r="F599" t="s">
        <v>21</v>
      </c>
      <c r="G599" t="s">
        <v>22</v>
      </c>
      <c r="H599" t="s">
        <v>67</v>
      </c>
      <c r="I599" t="s">
        <v>841</v>
      </c>
      <c r="J599" t="s">
        <v>43</v>
      </c>
      <c r="K599" t="s">
        <v>141</v>
      </c>
      <c r="L599" t="s">
        <v>70</v>
      </c>
      <c r="N599">
        <f t="shared" si="45"/>
        <v>16</v>
      </c>
      <c r="O599">
        <f t="shared" si="46"/>
        <v>4</v>
      </c>
      <c r="P599" t="str">
        <f t="shared" si="47"/>
        <v>Observed Better</v>
      </c>
      <c r="Q599" t="str">
        <f t="shared" si="48"/>
        <v>April</v>
      </c>
      <c r="R599" t="str">
        <f t="shared" si="49"/>
        <v>Week 16</v>
      </c>
    </row>
    <row r="600" spans="1:18" ht="30" customHeight="1" x14ac:dyDescent="0.2">
      <c r="A600" s="11">
        <v>243849</v>
      </c>
      <c r="B600" s="2">
        <v>45400</v>
      </c>
      <c r="C600" t="s">
        <v>65</v>
      </c>
      <c r="D600" t="s">
        <v>66</v>
      </c>
      <c r="E600" t="s">
        <v>16</v>
      </c>
      <c r="F600" t="s">
        <v>17</v>
      </c>
      <c r="H600" t="s">
        <v>67</v>
      </c>
      <c r="I600" t="s">
        <v>842</v>
      </c>
      <c r="J600" t="s">
        <v>38</v>
      </c>
      <c r="K600" t="s">
        <v>97</v>
      </c>
      <c r="L600" t="s">
        <v>70</v>
      </c>
      <c r="M600" s="8" t="s">
        <v>843</v>
      </c>
      <c r="N600">
        <f t="shared" si="45"/>
        <v>16</v>
      </c>
      <c r="O600">
        <f t="shared" si="46"/>
        <v>4</v>
      </c>
      <c r="P600" t="str">
        <f t="shared" si="47"/>
        <v>Observed Better</v>
      </c>
      <c r="Q600" t="str">
        <f t="shared" si="48"/>
        <v>April</v>
      </c>
      <c r="R600" t="str">
        <f t="shared" si="49"/>
        <v>Week 16</v>
      </c>
    </row>
    <row r="601" spans="1:18" ht="45" customHeight="1" x14ac:dyDescent="0.2">
      <c r="A601" s="11">
        <v>243850</v>
      </c>
      <c r="B601" s="2">
        <v>45400</v>
      </c>
      <c r="C601" t="s">
        <v>65</v>
      </c>
      <c r="D601" t="s">
        <v>66</v>
      </c>
      <c r="E601" t="s">
        <v>16</v>
      </c>
      <c r="F601" t="s">
        <v>162</v>
      </c>
      <c r="H601" t="s">
        <v>67</v>
      </c>
      <c r="I601" t="s">
        <v>844</v>
      </c>
      <c r="J601" t="s">
        <v>38</v>
      </c>
      <c r="K601" t="s">
        <v>97</v>
      </c>
      <c r="L601" t="s">
        <v>70</v>
      </c>
      <c r="M601" s="8" t="s">
        <v>845</v>
      </c>
      <c r="N601">
        <f t="shared" si="45"/>
        <v>16</v>
      </c>
      <c r="O601">
        <f t="shared" si="46"/>
        <v>4</v>
      </c>
      <c r="P601" t="str">
        <f t="shared" si="47"/>
        <v>Observed Better</v>
      </c>
      <c r="Q601" t="str">
        <f t="shared" si="48"/>
        <v>April</v>
      </c>
      <c r="R601" t="str">
        <f t="shared" si="49"/>
        <v>Week 16</v>
      </c>
    </row>
    <row r="602" spans="1:18" ht="45" customHeight="1" x14ac:dyDescent="0.2">
      <c r="A602" s="11">
        <v>243851</v>
      </c>
      <c r="B602" s="2">
        <v>45400</v>
      </c>
      <c r="C602" t="s">
        <v>65</v>
      </c>
      <c r="D602" t="s">
        <v>66</v>
      </c>
      <c r="E602" t="s">
        <v>11</v>
      </c>
      <c r="F602" t="s">
        <v>12</v>
      </c>
      <c r="G602" t="s">
        <v>15</v>
      </c>
      <c r="H602" t="s">
        <v>67</v>
      </c>
      <c r="I602" t="s">
        <v>846</v>
      </c>
      <c r="J602" t="s">
        <v>38</v>
      </c>
      <c r="K602" t="s">
        <v>97</v>
      </c>
      <c r="L602" t="s">
        <v>70</v>
      </c>
      <c r="M602" s="8" t="s">
        <v>847</v>
      </c>
      <c r="N602">
        <f t="shared" si="45"/>
        <v>16</v>
      </c>
      <c r="O602">
        <f t="shared" si="46"/>
        <v>4</v>
      </c>
      <c r="P602" t="str">
        <f t="shared" si="47"/>
        <v>Observed Better</v>
      </c>
      <c r="Q602" t="str">
        <f t="shared" si="48"/>
        <v>April</v>
      </c>
      <c r="R602" t="str">
        <f t="shared" si="49"/>
        <v>Week 16</v>
      </c>
    </row>
    <row r="603" spans="1:18" ht="75" customHeight="1" x14ac:dyDescent="0.2">
      <c r="A603" s="11">
        <v>243852</v>
      </c>
      <c r="B603" s="2">
        <v>45400</v>
      </c>
      <c r="C603" t="s">
        <v>65</v>
      </c>
      <c r="D603" t="s">
        <v>66</v>
      </c>
      <c r="E603" t="s">
        <v>20</v>
      </c>
      <c r="F603" t="s">
        <v>21</v>
      </c>
      <c r="G603" t="s">
        <v>22</v>
      </c>
      <c r="H603" t="s">
        <v>67</v>
      </c>
      <c r="I603" t="s">
        <v>848</v>
      </c>
      <c r="J603" t="s">
        <v>38</v>
      </c>
      <c r="K603" t="s">
        <v>97</v>
      </c>
      <c r="L603" t="s">
        <v>70</v>
      </c>
      <c r="M603" s="8" t="s">
        <v>849</v>
      </c>
      <c r="N603">
        <f t="shared" si="45"/>
        <v>16</v>
      </c>
      <c r="O603">
        <f t="shared" si="46"/>
        <v>4</v>
      </c>
      <c r="P603" t="str">
        <f t="shared" si="47"/>
        <v>Observed Better</v>
      </c>
      <c r="Q603" t="str">
        <f t="shared" si="48"/>
        <v>April</v>
      </c>
      <c r="R603" t="str">
        <f t="shared" si="49"/>
        <v>Week 16</v>
      </c>
    </row>
    <row r="604" spans="1:18" x14ac:dyDescent="0.2">
      <c r="A604" s="11">
        <v>243853</v>
      </c>
      <c r="B604" s="2">
        <v>45400</v>
      </c>
      <c r="C604" t="s">
        <v>65</v>
      </c>
      <c r="D604" t="s">
        <v>66</v>
      </c>
      <c r="E604" t="s">
        <v>20</v>
      </c>
      <c r="F604" t="s">
        <v>21</v>
      </c>
      <c r="G604" t="s">
        <v>22</v>
      </c>
      <c r="H604" t="s">
        <v>67</v>
      </c>
      <c r="I604" t="s">
        <v>850</v>
      </c>
      <c r="J604" t="s">
        <v>43</v>
      </c>
      <c r="K604" t="s">
        <v>141</v>
      </c>
      <c r="L604" t="s">
        <v>70</v>
      </c>
      <c r="N604">
        <f t="shared" si="45"/>
        <v>16</v>
      </c>
      <c r="O604">
        <f t="shared" si="46"/>
        <v>4</v>
      </c>
      <c r="P604" t="str">
        <f t="shared" si="47"/>
        <v>Observed Better</v>
      </c>
      <c r="Q604" t="str">
        <f t="shared" si="48"/>
        <v>April</v>
      </c>
      <c r="R604" t="str">
        <f t="shared" si="49"/>
        <v>Week 16</v>
      </c>
    </row>
    <row r="605" spans="1:18" x14ac:dyDescent="0.2">
      <c r="A605" s="11">
        <v>243854</v>
      </c>
      <c r="B605" s="2">
        <v>45400</v>
      </c>
      <c r="C605" t="s">
        <v>65</v>
      </c>
      <c r="D605" t="s">
        <v>66</v>
      </c>
      <c r="E605" t="s">
        <v>11</v>
      </c>
      <c r="F605" t="s">
        <v>131</v>
      </c>
      <c r="G605" t="s">
        <v>11</v>
      </c>
      <c r="H605" t="s">
        <v>67</v>
      </c>
      <c r="I605" t="s">
        <v>851</v>
      </c>
      <c r="J605" t="s">
        <v>43</v>
      </c>
      <c r="K605" t="s">
        <v>141</v>
      </c>
      <c r="L605" t="s">
        <v>70</v>
      </c>
      <c r="N605">
        <f t="shared" si="45"/>
        <v>16</v>
      </c>
      <c r="O605">
        <f t="shared" si="46"/>
        <v>4</v>
      </c>
      <c r="P605" t="str">
        <f t="shared" si="47"/>
        <v>Observed Better</v>
      </c>
      <c r="Q605" t="str">
        <f t="shared" si="48"/>
        <v>April</v>
      </c>
      <c r="R605" t="str">
        <f t="shared" si="49"/>
        <v>Week 16</v>
      </c>
    </row>
    <row r="606" spans="1:18" ht="30" customHeight="1" x14ac:dyDescent="0.2">
      <c r="A606" s="11">
        <v>243855</v>
      </c>
      <c r="B606" s="2">
        <v>45400</v>
      </c>
      <c r="C606" t="s">
        <v>65</v>
      </c>
      <c r="D606" t="s">
        <v>66</v>
      </c>
      <c r="E606" t="s">
        <v>8</v>
      </c>
      <c r="F606" t="s">
        <v>9</v>
      </c>
      <c r="G606" t="s">
        <v>11</v>
      </c>
      <c r="H606" t="s">
        <v>67</v>
      </c>
      <c r="I606" t="s">
        <v>852</v>
      </c>
      <c r="J606" t="s">
        <v>38</v>
      </c>
      <c r="K606" t="s">
        <v>97</v>
      </c>
      <c r="L606" t="s">
        <v>70</v>
      </c>
      <c r="M606" s="8" t="s">
        <v>853</v>
      </c>
      <c r="N606">
        <f t="shared" si="45"/>
        <v>16</v>
      </c>
      <c r="O606">
        <f t="shared" si="46"/>
        <v>4</v>
      </c>
      <c r="P606" t="str">
        <f t="shared" si="47"/>
        <v>Observed Better</v>
      </c>
      <c r="Q606" t="str">
        <f t="shared" si="48"/>
        <v>April</v>
      </c>
      <c r="R606" t="str">
        <f t="shared" si="49"/>
        <v>Week 16</v>
      </c>
    </row>
    <row r="607" spans="1:18" x14ac:dyDescent="0.2">
      <c r="A607" s="11">
        <v>243856</v>
      </c>
      <c r="B607" s="2">
        <v>45400</v>
      </c>
      <c r="C607" t="s">
        <v>65</v>
      </c>
      <c r="D607" t="s">
        <v>66</v>
      </c>
      <c r="E607" t="s">
        <v>24</v>
      </c>
      <c r="F607" t="s">
        <v>25</v>
      </c>
      <c r="H607" t="s">
        <v>67</v>
      </c>
      <c r="I607" t="s">
        <v>854</v>
      </c>
      <c r="J607" t="s">
        <v>580</v>
      </c>
      <c r="K607" t="s">
        <v>581</v>
      </c>
      <c r="L607" t="s">
        <v>77</v>
      </c>
      <c r="N607">
        <f t="shared" si="45"/>
        <v>16</v>
      </c>
      <c r="O607">
        <f t="shared" si="46"/>
        <v>4</v>
      </c>
      <c r="P607" t="str">
        <f t="shared" si="47"/>
        <v>Provided Guidance</v>
      </c>
      <c r="Q607" t="str">
        <f t="shared" si="48"/>
        <v>April</v>
      </c>
      <c r="R607" t="str">
        <f t="shared" si="49"/>
        <v>Week 16</v>
      </c>
    </row>
    <row r="608" spans="1:18" x14ac:dyDescent="0.2">
      <c r="A608" s="11">
        <v>243857</v>
      </c>
      <c r="B608" s="2">
        <v>45401</v>
      </c>
      <c r="C608" t="s">
        <v>65</v>
      </c>
      <c r="D608" t="s">
        <v>66</v>
      </c>
      <c r="E608" t="s">
        <v>11</v>
      </c>
      <c r="F608" t="s">
        <v>220</v>
      </c>
      <c r="H608" t="s">
        <v>67</v>
      </c>
      <c r="I608" t="s">
        <v>855</v>
      </c>
      <c r="J608" t="s">
        <v>39</v>
      </c>
      <c r="K608" t="s">
        <v>244</v>
      </c>
      <c r="L608" t="s">
        <v>70</v>
      </c>
      <c r="N608">
        <f t="shared" si="45"/>
        <v>16</v>
      </c>
      <c r="O608">
        <f t="shared" si="46"/>
        <v>4</v>
      </c>
      <c r="P608" t="str">
        <f t="shared" si="47"/>
        <v>Observed Better</v>
      </c>
      <c r="Q608" t="str">
        <f t="shared" si="48"/>
        <v>April</v>
      </c>
      <c r="R608" t="str">
        <f t="shared" si="49"/>
        <v>Week 16</v>
      </c>
    </row>
    <row r="609" spans="1:18" x14ac:dyDescent="0.2">
      <c r="A609" s="11">
        <v>243858</v>
      </c>
      <c r="B609" s="2">
        <v>45401</v>
      </c>
      <c r="C609" t="s">
        <v>65</v>
      </c>
      <c r="D609" t="s">
        <v>66</v>
      </c>
      <c r="E609" t="s">
        <v>8</v>
      </c>
      <c r="F609" t="s">
        <v>9</v>
      </c>
      <c r="G609" t="s">
        <v>11</v>
      </c>
      <c r="H609" t="s">
        <v>67</v>
      </c>
      <c r="I609" t="s">
        <v>856</v>
      </c>
      <c r="J609" t="s">
        <v>39</v>
      </c>
      <c r="K609" t="s">
        <v>244</v>
      </c>
      <c r="L609" t="s">
        <v>70</v>
      </c>
      <c r="N609">
        <f t="shared" si="45"/>
        <v>16</v>
      </c>
      <c r="O609">
        <f t="shared" si="46"/>
        <v>4</v>
      </c>
      <c r="P609" t="str">
        <f t="shared" si="47"/>
        <v>Observed Better</v>
      </c>
      <c r="Q609" t="str">
        <f t="shared" si="48"/>
        <v>April</v>
      </c>
      <c r="R609" t="str">
        <f t="shared" si="49"/>
        <v>Week 16</v>
      </c>
    </row>
    <row r="610" spans="1:18" x14ac:dyDescent="0.2">
      <c r="A610" s="11">
        <v>243859</v>
      </c>
      <c r="B610" s="2">
        <v>45401</v>
      </c>
      <c r="C610" t="s">
        <v>65</v>
      </c>
      <c r="D610" t="s">
        <v>66</v>
      </c>
      <c r="E610" t="s">
        <v>8</v>
      </c>
      <c r="F610" t="s">
        <v>9</v>
      </c>
      <c r="G610" t="s">
        <v>203</v>
      </c>
      <c r="H610" t="s">
        <v>67</v>
      </c>
      <c r="I610" t="s">
        <v>857</v>
      </c>
      <c r="J610" t="s">
        <v>39</v>
      </c>
      <c r="K610" t="s">
        <v>244</v>
      </c>
      <c r="L610" t="s">
        <v>70</v>
      </c>
      <c r="N610">
        <f t="shared" si="45"/>
        <v>16</v>
      </c>
      <c r="O610">
        <f t="shared" si="46"/>
        <v>4</v>
      </c>
      <c r="P610" t="str">
        <f t="shared" si="47"/>
        <v>Observed Better</v>
      </c>
      <c r="Q610" t="str">
        <f t="shared" si="48"/>
        <v>April</v>
      </c>
      <c r="R610" t="str">
        <f t="shared" si="49"/>
        <v>Week 16</v>
      </c>
    </row>
    <row r="611" spans="1:18" x14ac:dyDescent="0.2">
      <c r="A611" s="11">
        <v>243860</v>
      </c>
      <c r="B611" s="2">
        <v>45401</v>
      </c>
      <c r="C611" t="s">
        <v>65</v>
      </c>
      <c r="D611" t="s">
        <v>66</v>
      </c>
      <c r="E611" t="s">
        <v>24</v>
      </c>
      <c r="F611" t="s">
        <v>10</v>
      </c>
      <c r="G611" t="s">
        <v>26</v>
      </c>
      <c r="H611" t="s">
        <v>67</v>
      </c>
      <c r="I611" t="s">
        <v>858</v>
      </c>
      <c r="J611" t="s">
        <v>39</v>
      </c>
      <c r="K611" t="s">
        <v>244</v>
      </c>
      <c r="L611" t="s">
        <v>70</v>
      </c>
      <c r="N611">
        <f t="shared" si="45"/>
        <v>16</v>
      </c>
      <c r="O611">
        <f t="shared" si="46"/>
        <v>4</v>
      </c>
      <c r="P611" t="str">
        <f t="shared" si="47"/>
        <v>Observed Better</v>
      </c>
      <c r="Q611" t="str">
        <f t="shared" si="48"/>
        <v>April</v>
      </c>
      <c r="R611" t="str">
        <f t="shared" si="49"/>
        <v>Week 16</v>
      </c>
    </row>
    <row r="612" spans="1:18" x14ac:dyDescent="0.2">
      <c r="A612" s="11">
        <v>243861</v>
      </c>
      <c r="B612" s="2">
        <v>45401</v>
      </c>
      <c r="C612" t="s">
        <v>65</v>
      </c>
      <c r="D612" t="s">
        <v>66</v>
      </c>
      <c r="E612" t="s">
        <v>16</v>
      </c>
      <c r="F612" t="s">
        <v>94</v>
      </c>
      <c r="H612" t="s">
        <v>67</v>
      </c>
      <c r="I612" t="s">
        <v>859</v>
      </c>
      <c r="J612" t="s">
        <v>37</v>
      </c>
      <c r="K612" t="s">
        <v>69</v>
      </c>
      <c r="L612" t="s">
        <v>70</v>
      </c>
      <c r="N612">
        <f t="shared" si="45"/>
        <v>16</v>
      </c>
      <c r="O612">
        <f t="shared" si="46"/>
        <v>4</v>
      </c>
      <c r="P612" t="str">
        <f t="shared" si="47"/>
        <v>Observed Better</v>
      </c>
      <c r="Q612" t="str">
        <f t="shared" si="48"/>
        <v>April</v>
      </c>
      <c r="R612" t="str">
        <f t="shared" si="49"/>
        <v>Week 16</v>
      </c>
    </row>
    <row r="613" spans="1:18" x14ac:dyDescent="0.2">
      <c r="A613" s="11">
        <v>243862</v>
      </c>
      <c r="B613" s="2">
        <v>45401</v>
      </c>
      <c r="C613" t="s">
        <v>65</v>
      </c>
      <c r="D613" t="s">
        <v>66</v>
      </c>
      <c r="E613" t="s">
        <v>8</v>
      </c>
      <c r="F613" t="s">
        <v>9</v>
      </c>
      <c r="G613" t="s">
        <v>203</v>
      </c>
      <c r="H613" t="s">
        <v>67</v>
      </c>
      <c r="I613" t="s">
        <v>860</v>
      </c>
      <c r="J613" t="s">
        <v>37</v>
      </c>
      <c r="K613" t="s">
        <v>69</v>
      </c>
      <c r="L613" t="s">
        <v>70</v>
      </c>
      <c r="N613">
        <f t="shared" si="45"/>
        <v>16</v>
      </c>
      <c r="O613">
        <f t="shared" si="46"/>
        <v>4</v>
      </c>
      <c r="P613" t="str">
        <f t="shared" si="47"/>
        <v>Observed Better</v>
      </c>
      <c r="Q613" t="str">
        <f t="shared" si="48"/>
        <v>April</v>
      </c>
      <c r="R613" t="str">
        <f t="shared" si="49"/>
        <v>Week 16</v>
      </c>
    </row>
    <row r="614" spans="1:18" x14ac:dyDescent="0.2">
      <c r="A614" s="11">
        <v>243863</v>
      </c>
      <c r="B614" s="2">
        <v>45401</v>
      </c>
      <c r="C614" t="s">
        <v>65</v>
      </c>
      <c r="D614" t="s">
        <v>66</v>
      </c>
      <c r="E614" t="s">
        <v>8</v>
      </c>
      <c r="F614" t="s">
        <v>9</v>
      </c>
      <c r="G614" t="s">
        <v>203</v>
      </c>
      <c r="H614" t="s">
        <v>67</v>
      </c>
      <c r="I614" t="s">
        <v>861</v>
      </c>
      <c r="J614" t="s">
        <v>580</v>
      </c>
      <c r="K614" t="s">
        <v>581</v>
      </c>
      <c r="L614" t="s">
        <v>70</v>
      </c>
      <c r="N614">
        <f t="shared" si="45"/>
        <v>16</v>
      </c>
      <c r="O614">
        <f t="shared" si="46"/>
        <v>4</v>
      </c>
      <c r="P614" t="str">
        <f t="shared" si="47"/>
        <v>Observed Better</v>
      </c>
      <c r="Q614" t="str">
        <f t="shared" si="48"/>
        <v>April</v>
      </c>
      <c r="R614" t="str">
        <f t="shared" si="49"/>
        <v>Week 16</v>
      </c>
    </row>
    <row r="615" spans="1:18" x14ac:dyDescent="0.2">
      <c r="A615" s="11">
        <v>243864</v>
      </c>
      <c r="B615" s="2">
        <v>45401</v>
      </c>
      <c r="C615" t="s">
        <v>65</v>
      </c>
      <c r="D615" t="s">
        <v>66</v>
      </c>
      <c r="E615" t="s">
        <v>20</v>
      </c>
      <c r="F615" t="s">
        <v>10</v>
      </c>
      <c r="G615" t="s">
        <v>23</v>
      </c>
      <c r="H615" t="s">
        <v>67</v>
      </c>
      <c r="I615" t="s">
        <v>862</v>
      </c>
      <c r="J615" t="s">
        <v>35</v>
      </c>
      <c r="K615" t="s">
        <v>241</v>
      </c>
      <c r="L615" t="s">
        <v>70</v>
      </c>
      <c r="N615">
        <f t="shared" si="45"/>
        <v>16</v>
      </c>
      <c r="O615">
        <f t="shared" si="46"/>
        <v>4</v>
      </c>
      <c r="P615" t="str">
        <f t="shared" si="47"/>
        <v>Observed Better</v>
      </c>
      <c r="Q615" t="str">
        <f t="shared" si="48"/>
        <v>April</v>
      </c>
      <c r="R615" t="str">
        <f t="shared" si="49"/>
        <v>Week 16</v>
      </c>
    </row>
    <row r="616" spans="1:18" x14ac:dyDescent="0.2">
      <c r="A616" s="11">
        <v>243865</v>
      </c>
      <c r="B616" s="2">
        <v>45401</v>
      </c>
      <c r="C616" t="s">
        <v>65</v>
      </c>
      <c r="D616" t="s">
        <v>66</v>
      </c>
      <c r="E616" t="s">
        <v>11</v>
      </c>
      <c r="F616" t="s">
        <v>220</v>
      </c>
      <c r="H616" t="s">
        <v>67</v>
      </c>
      <c r="I616" t="s">
        <v>863</v>
      </c>
      <c r="J616" t="s">
        <v>35</v>
      </c>
      <c r="K616" t="s">
        <v>241</v>
      </c>
      <c r="L616" t="s">
        <v>70</v>
      </c>
      <c r="N616">
        <f t="shared" si="45"/>
        <v>16</v>
      </c>
      <c r="O616">
        <f t="shared" si="46"/>
        <v>4</v>
      </c>
      <c r="P616" t="str">
        <f t="shared" si="47"/>
        <v>Observed Better</v>
      </c>
      <c r="Q616" t="str">
        <f t="shared" si="48"/>
        <v>April</v>
      </c>
      <c r="R616" t="str">
        <f t="shared" si="49"/>
        <v>Week 16</v>
      </c>
    </row>
    <row r="617" spans="1:18" x14ac:dyDescent="0.2">
      <c r="A617" s="11">
        <v>243866</v>
      </c>
      <c r="B617" s="2">
        <v>45401</v>
      </c>
      <c r="C617" t="s">
        <v>65</v>
      </c>
      <c r="D617" t="s">
        <v>66</v>
      </c>
      <c r="E617" t="s">
        <v>20</v>
      </c>
      <c r="F617" t="s">
        <v>10</v>
      </c>
      <c r="G617" t="s">
        <v>23</v>
      </c>
      <c r="H617" t="s">
        <v>67</v>
      </c>
      <c r="I617" t="s">
        <v>864</v>
      </c>
      <c r="J617" t="s">
        <v>35</v>
      </c>
      <c r="K617" t="s">
        <v>241</v>
      </c>
      <c r="L617" t="s">
        <v>70</v>
      </c>
      <c r="N617">
        <f t="shared" si="45"/>
        <v>16</v>
      </c>
      <c r="O617">
        <f t="shared" si="46"/>
        <v>4</v>
      </c>
      <c r="P617" t="str">
        <f t="shared" si="47"/>
        <v>Observed Better</v>
      </c>
      <c r="Q617" t="str">
        <f t="shared" si="48"/>
        <v>April</v>
      </c>
      <c r="R617" t="str">
        <f t="shared" si="49"/>
        <v>Week 16</v>
      </c>
    </row>
    <row r="618" spans="1:18" x14ac:dyDescent="0.2">
      <c r="A618" s="11">
        <v>243867</v>
      </c>
      <c r="B618" s="2">
        <v>45401</v>
      </c>
      <c r="C618" t="s">
        <v>65</v>
      </c>
      <c r="D618" t="s">
        <v>66</v>
      </c>
      <c r="E618" t="s">
        <v>20</v>
      </c>
      <c r="F618" t="s">
        <v>21</v>
      </c>
      <c r="G618" t="s">
        <v>22</v>
      </c>
      <c r="H618" t="s">
        <v>67</v>
      </c>
      <c r="I618" t="s">
        <v>865</v>
      </c>
      <c r="J618" t="s">
        <v>41</v>
      </c>
      <c r="K618" t="s">
        <v>92</v>
      </c>
      <c r="L618" t="s">
        <v>70</v>
      </c>
      <c r="N618">
        <f t="shared" si="45"/>
        <v>16</v>
      </c>
      <c r="O618">
        <f t="shared" si="46"/>
        <v>4</v>
      </c>
      <c r="P618" t="str">
        <f t="shared" si="47"/>
        <v>Observed Better</v>
      </c>
      <c r="Q618" t="str">
        <f t="shared" si="48"/>
        <v>April</v>
      </c>
      <c r="R618" t="str">
        <f t="shared" si="49"/>
        <v>Week 16</v>
      </c>
    </row>
    <row r="619" spans="1:18" x14ac:dyDescent="0.2">
      <c r="A619" s="11">
        <v>243868</v>
      </c>
      <c r="B619" s="2">
        <v>45401</v>
      </c>
      <c r="C619" t="s">
        <v>65</v>
      </c>
      <c r="D619" t="s">
        <v>66</v>
      </c>
      <c r="E619" t="s">
        <v>8</v>
      </c>
      <c r="F619" t="s">
        <v>9</v>
      </c>
      <c r="G619" t="s">
        <v>203</v>
      </c>
      <c r="H619" t="s">
        <v>67</v>
      </c>
      <c r="I619" t="s">
        <v>866</v>
      </c>
      <c r="J619" t="s">
        <v>41</v>
      </c>
      <c r="K619" t="s">
        <v>92</v>
      </c>
      <c r="L619" t="s">
        <v>77</v>
      </c>
      <c r="N619">
        <f t="shared" si="45"/>
        <v>16</v>
      </c>
      <c r="O619">
        <f t="shared" si="46"/>
        <v>4</v>
      </c>
      <c r="P619" t="str">
        <f t="shared" si="47"/>
        <v>Provided Guidance</v>
      </c>
      <c r="Q619" t="str">
        <f t="shared" si="48"/>
        <v>April</v>
      </c>
      <c r="R619" t="str">
        <f t="shared" si="49"/>
        <v>Week 16</v>
      </c>
    </row>
    <row r="620" spans="1:18" ht="16" customHeight="1" x14ac:dyDescent="0.2">
      <c r="A620" s="11">
        <v>243869</v>
      </c>
      <c r="B620" s="2">
        <v>45401</v>
      </c>
      <c r="C620" t="s">
        <v>65</v>
      </c>
      <c r="D620" t="s">
        <v>66</v>
      </c>
      <c r="E620" t="s">
        <v>8</v>
      </c>
      <c r="F620" t="s">
        <v>9</v>
      </c>
      <c r="G620" t="s">
        <v>528</v>
      </c>
      <c r="H620" t="s">
        <v>67</v>
      </c>
      <c r="I620" t="s">
        <v>867</v>
      </c>
      <c r="J620" t="s">
        <v>34</v>
      </c>
      <c r="K620" t="s">
        <v>295</v>
      </c>
      <c r="L620" t="s">
        <v>77</v>
      </c>
      <c r="M620" s="8" t="s">
        <v>357</v>
      </c>
      <c r="N620">
        <f t="shared" si="45"/>
        <v>16</v>
      </c>
      <c r="O620">
        <f t="shared" si="46"/>
        <v>4</v>
      </c>
      <c r="P620" t="str">
        <f t="shared" si="47"/>
        <v>Provided Guidance</v>
      </c>
      <c r="Q620" t="str">
        <f t="shared" si="48"/>
        <v>April</v>
      </c>
      <c r="R620" t="str">
        <f t="shared" si="49"/>
        <v>Week 16</v>
      </c>
    </row>
    <row r="621" spans="1:18" ht="16" customHeight="1" x14ac:dyDescent="0.2">
      <c r="A621" s="11">
        <v>243870</v>
      </c>
      <c r="B621" s="2">
        <v>45401</v>
      </c>
      <c r="C621" t="s">
        <v>65</v>
      </c>
      <c r="D621" t="s">
        <v>66</v>
      </c>
      <c r="E621" t="s">
        <v>11</v>
      </c>
      <c r="F621" t="s">
        <v>134</v>
      </c>
      <c r="G621" t="s">
        <v>370</v>
      </c>
      <c r="H621" t="s">
        <v>67</v>
      </c>
      <c r="I621" t="s">
        <v>868</v>
      </c>
      <c r="J621" t="s">
        <v>34</v>
      </c>
      <c r="K621" t="s">
        <v>295</v>
      </c>
      <c r="L621" t="s">
        <v>77</v>
      </c>
      <c r="M621" s="8" t="s">
        <v>357</v>
      </c>
      <c r="N621">
        <f t="shared" si="45"/>
        <v>16</v>
      </c>
      <c r="O621">
        <f t="shared" si="46"/>
        <v>4</v>
      </c>
      <c r="P621" t="str">
        <f t="shared" si="47"/>
        <v>Provided Guidance</v>
      </c>
      <c r="Q621" t="str">
        <f t="shared" si="48"/>
        <v>April</v>
      </c>
      <c r="R621" t="str">
        <f t="shared" si="49"/>
        <v>Week 16</v>
      </c>
    </row>
    <row r="622" spans="1:18" ht="16" customHeight="1" x14ac:dyDescent="0.2">
      <c r="A622" s="11">
        <v>243871</v>
      </c>
      <c r="B622" s="2">
        <v>45401</v>
      </c>
      <c r="C622" t="s">
        <v>65</v>
      </c>
      <c r="D622" t="s">
        <v>66</v>
      </c>
      <c r="E622" t="s">
        <v>20</v>
      </c>
      <c r="F622" t="s">
        <v>21</v>
      </c>
      <c r="G622" t="s">
        <v>73</v>
      </c>
      <c r="H622" t="s">
        <v>67</v>
      </c>
      <c r="I622" t="s">
        <v>869</v>
      </c>
      <c r="J622" t="s">
        <v>34</v>
      </c>
      <c r="K622" t="s">
        <v>295</v>
      </c>
      <c r="L622" t="s">
        <v>77</v>
      </c>
      <c r="M622" s="8" t="s">
        <v>357</v>
      </c>
      <c r="N622">
        <f t="shared" si="45"/>
        <v>16</v>
      </c>
      <c r="O622">
        <f t="shared" si="46"/>
        <v>4</v>
      </c>
      <c r="P622" t="str">
        <f t="shared" si="47"/>
        <v>Provided Guidance</v>
      </c>
      <c r="Q622" t="str">
        <f t="shared" si="48"/>
        <v>April</v>
      </c>
      <c r="R622" t="str">
        <f t="shared" si="49"/>
        <v>Week 16</v>
      </c>
    </row>
    <row r="623" spans="1:18" x14ac:dyDescent="0.2">
      <c r="A623" s="11">
        <v>243872</v>
      </c>
      <c r="B623" s="2">
        <v>45401</v>
      </c>
      <c r="C623" t="s">
        <v>65</v>
      </c>
      <c r="D623" t="s">
        <v>66</v>
      </c>
      <c r="E623" t="s">
        <v>11</v>
      </c>
      <c r="F623" t="s">
        <v>134</v>
      </c>
      <c r="G623" t="s">
        <v>370</v>
      </c>
      <c r="H623" t="s">
        <v>67</v>
      </c>
      <c r="I623" t="s">
        <v>870</v>
      </c>
      <c r="J623" t="s">
        <v>455</v>
      </c>
      <c r="K623" t="s">
        <v>456</v>
      </c>
      <c r="L623" t="s">
        <v>70</v>
      </c>
      <c r="N623">
        <f t="shared" si="45"/>
        <v>16</v>
      </c>
      <c r="O623">
        <f t="shared" si="46"/>
        <v>4</v>
      </c>
      <c r="P623" t="str">
        <f t="shared" si="47"/>
        <v>Observed Better</v>
      </c>
      <c r="Q623" t="str">
        <f t="shared" si="48"/>
        <v>April</v>
      </c>
      <c r="R623" t="str">
        <f t="shared" si="49"/>
        <v>Week 16</v>
      </c>
    </row>
    <row r="624" spans="1:18" ht="150" customHeight="1" x14ac:dyDescent="0.2">
      <c r="A624" s="11">
        <v>243873</v>
      </c>
      <c r="B624" s="2">
        <v>45401</v>
      </c>
      <c r="C624" t="s">
        <v>65</v>
      </c>
      <c r="D624" t="s">
        <v>66</v>
      </c>
      <c r="E624" t="s">
        <v>20</v>
      </c>
      <c r="F624" t="s">
        <v>10</v>
      </c>
      <c r="G624" t="s">
        <v>23</v>
      </c>
      <c r="H624" t="s">
        <v>67</v>
      </c>
      <c r="I624" t="s">
        <v>871</v>
      </c>
      <c r="J624" t="s">
        <v>455</v>
      </c>
      <c r="K624" t="s">
        <v>456</v>
      </c>
      <c r="L624" t="s">
        <v>77</v>
      </c>
      <c r="M624" s="8" t="s">
        <v>872</v>
      </c>
      <c r="N624">
        <f t="shared" si="45"/>
        <v>16</v>
      </c>
      <c r="O624">
        <f t="shared" si="46"/>
        <v>4</v>
      </c>
      <c r="P624" t="str">
        <f t="shared" si="47"/>
        <v>Provided Guidance</v>
      </c>
      <c r="Q624" t="str">
        <f t="shared" si="48"/>
        <v>April</v>
      </c>
      <c r="R624" t="str">
        <f t="shared" si="49"/>
        <v>Week 16</v>
      </c>
    </row>
    <row r="625" spans="1:18" x14ac:dyDescent="0.2">
      <c r="A625" s="11">
        <v>243874</v>
      </c>
      <c r="B625" s="2">
        <v>45401</v>
      </c>
      <c r="C625" t="s">
        <v>65</v>
      </c>
      <c r="D625" t="s">
        <v>66</v>
      </c>
      <c r="E625" t="s">
        <v>20</v>
      </c>
      <c r="F625" t="s">
        <v>21</v>
      </c>
      <c r="G625" t="s">
        <v>73</v>
      </c>
      <c r="H625" t="s">
        <v>67</v>
      </c>
      <c r="I625" t="s">
        <v>873</v>
      </c>
      <c r="J625" t="s">
        <v>251</v>
      </c>
      <c r="K625" t="s">
        <v>252</v>
      </c>
      <c r="L625" t="s">
        <v>77</v>
      </c>
      <c r="N625">
        <f t="shared" si="45"/>
        <v>16</v>
      </c>
      <c r="O625">
        <f t="shared" si="46"/>
        <v>4</v>
      </c>
      <c r="P625" t="str">
        <f t="shared" si="47"/>
        <v>Provided Guidance</v>
      </c>
      <c r="Q625" t="str">
        <f t="shared" si="48"/>
        <v>April</v>
      </c>
      <c r="R625" t="str">
        <f t="shared" si="49"/>
        <v>Week 16</v>
      </c>
    </row>
    <row r="626" spans="1:18" x14ac:dyDescent="0.2">
      <c r="A626" s="11">
        <v>243875</v>
      </c>
      <c r="B626" s="2">
        <v>45401</v>
      </c>
      <c r="C626" t="s">
        <v>65</v>
      </c>
      <c r="D626" t="s">
        <v>66</v>
      </c>
      <c r="E626" t="s">
        <v>8</v>
      </c>
      <c r="F626" t="s">
        <v>9</v>
      </c>
      <c r="G626" t="s">
        <v>11</v>
      </c>
      <c r="H626" t="s">
        <v>67</v>
      </c>
      <c r="I626" t="s">
        <v>874</v>
      </c>
      <c r="J626" t="s">
        <v>251</v>
      </c>
      <c r="K626" t="s">
        <v>252</v>
      </c>
      <c r="L626" t="s">
        <v>77</v>
      </c>
      <c r="N626">
        <f t="shared" si="45"/>
        <v>16</v>
      </c>
      <c r="O626">
        <f t="shared" si="46"/>
        <v>4</v>
      </c>
      <c r="P626" t="str">
        <f t="shared" si="47"/>
        <v>Provided Guidance</v>
      </c>
      <c r="Q626" t="str">
        <f t="shared" si="48"/>
        <v>April</v>
      </c>
      <c r="R626" t="str">
        <f t="shared" si="49"/>
        <v>Week 16</v>
      </c>
    </row>
    <row r="627" spans="1:18" x14ac:dyDescent="0.2">
      <c r="A627" s="11">
        <v>243876</v>
      </c>
      <c r="B627" s="2">
        <v>45401</v>
      </c>
      <c r="C627" t="s">
        <v>65</v>
      </c>
      <c r="D627" t="s">
        <v>66</v>
      </c>
      <c r="E627" t="s">
        <v>8</v>
      </c>
      <c r="F627" t="s">
        <v>9</v>
      </c>
      <c r="G627" t="s">
        <v>11</v>
      </c>
      <c r="H627" t="s">
        <v>67</v>
      </c>
      <c r="I627" t="s">
        <v>875</v>
      </c>
      <c r="J627" t="s">
        <v>251</v>
      </c>
      <c r="K627" t="s">
        <v>252</v>
      </c>
      <c r="L627" t="s">
        <v>77</v>
      </c>
      <c r="N627">
        <f t="shared" si="45"/>
        <v>16</v>
      </c>
      <c r="O627">
        <f t="shared" si="46"/>
        <v>4</v>
      </c>
      <c r="P627" t="str">
        <f t="shared" si="47"/>
        <v>Provided Guidance</v>
      </c>
      <c r="Q627" t="str">
        <f t="shared" si="48"/>
        <v>April</v>
      </c>
      <c r="R627" t="str">
        <f t="shared" si="49"/>
        <v>Week 16</v>
      </c>
    </row>
    <row r="628" spans="1:18" x14ac:dyDescent="0.2">
      <c r="A628" s="11">
        <v>243890</v>
      </c>
      <c r="B628" s="2">
        <v>45402</v>
      </c>
      <c r="C628" t="s">
        <v>65</v>
      </c>
      <c r="D628" t="s">
        <v>66</v>
      </c>
      <c r="E628" t="s">
        <v>20</v>
      </c>
      <c r="F628" t="s">
        <v>21</v>
      </c>
      <c r="G628" t="s">
        <v>73</v>
      </c>
      <c r="H628" t="s">
        <v>67</v>
      </c>
      <c r="I628" t="s">
        <v>876</v>
      </c>
      <c r="J628" t="s">
        <v>115</v>
      </c>
      <c r="K628" t="s">
        <v>116</v>
      </c>
      <c r="L628" t="s">
        <v>70</v>
      </c>
      <c r="N628">
        <f t="shared" si="45"/>
        <v>16</v>
      </c>
      <c r="O628">
        <f t="shared" si="46"/>
        <v>4</v>
      </c>
      <c r="P628" t="str">
        <f t="shared" si="47"/>
        <v>Observed Better</v>
      </c>
      <c r="Q628" t="str">
        <f t="shared" si="48"/>
        <v>April</v>
      </c>
      <c r="R628" t="str">
        <f t="shared" si="49"/>
        <v>Week 16</v>
      </c>
    </row>
    <row r="629" spans="1:18" x14ac:dyDescent="0.2">
      <c r="A629" s="11">
        <v>243891</v>
      </c>
      <c r="B629" s="2">
        <v>45402</v>
      </c>
      <c r="C629" t="s">
        <v>65</v>
      </c>
      <c r="D629" t="s">
        <v>66</v>
      </c>
      <c r="E629" t="s">
        <v>20</v>
      </c>
      <c r="F629" t="s">
        <v>21</v>
      </c>
      <c r="G629" t="s">
        <v>73</v>
      </c>
      <c r="H629" t="s">
        <v>67</v>
      </c>
      <c r="I629" t="s">
        <v>876</v>
      </c>
      <c r="J629" t="s">
        <v>115</v>
      </c>
      <c r="K629" t="s">
        <v>116</v>
      </c>
      <c r="L629" t="s">
        <v>70</v>
      </c>
      <c r="N629">
        <f t="shared" si="45"/>
        <v>16</v>
      </c>
      <c r="O629">
        <f t="shared" si="46"/>
        <v>4</v>
      </c>
      <c r="P629" t="str">
        <f t="shared" si="47"/>
        <v>Observed Better</v>
      </c>
      <c r="Q629" t="str">
        <f t="shared" si="48"/>
        <v>April</v>
      </c>
      <c r="R629" t="str">
        <f t="shared" si="49"/>
        <v>Week 16</v>
      </c>
    </row>
    <row r="630" spans="1:18" x14ac:dyDescent="0.2">
      <c r="A630" s="11">
        <v>243892</v>
      </c>
      <c r="B630" s="2">
        <v>45403</v>
      </c>
      <c r="C630" t="s">
        <v>65</v>
      </c>
      <c r="D630" t="s">
        <v>66</v>
      </c>
      <c r="E630" t="s">
        <v>8</v>
      </c>
      <c r="F630" t="s">
        <v>9</v>
      </c>
      <c r="G630" t="s">
        <v>11</v>
      </c>
      <c r="H630" t="s">
        <v>67</v>
      </c>
      <c r="I630" t="s">
        <v>877</v>
      </c>
      <c r="J630" t="s">
        <v>115</v>
      </c>
      <c r="K630" t="s">
        <v>116</v>
      </c>
      <c r="L630" t="s">
        <v>70</v>
      </c>
      <c r="N630">
        <f t="shared" si="45"/>
        <v>17</v>
      </c>
      <c r="O630">
        <f t="shared" si="46"/>
        <v>4</v>
      </c>
      <c r="P630" t="str">
        <f t="shared" si="47"/>
        <v>Observed Better</v>
      </c>
      <c r="Q630" t="str">
        <f t="shared" si="48"/>
        <v>April</v>
      </c>
      <c r="R630" t="str">
        <f t="shared" si="49"/>
        <v>Week 17</v>
      </c>
    </row>
    <row r="631" spans="1:18" x14ac:dyDescent="0.2">
      <c r="A631" s="11">
        <v>243893</v>
      </c>
      <c r="B631" s="2">
        <v>45403</v>
      </c>
      <c r="C631" t="s">
        <v>65</v>
      </c>
      <c r="D631" t="s">
        <v>66</v>
      </c>
      <c r="E631" t="s">
        <v>8</v>
      </c>
      <c r="F631" t="s">
        <v>9</v>
      </c>
      <c r="G631" t="s">
        <v>11</v>
      </c>
      <c r="H631" t="s">
        <v>67</v>
      </c>
      <c r="I631" t="s">
        <v>877</v>
      </c>
      <c r="J631" t="s">
        <v>115</v>
      </c>
      <c r="K631" t="s">
        <v>116</v>
      </c>
      <c r="L631" t="s">
        <v>70</v>
      </c>
      <c r="N631">
        <f t="shared" si="45"/>
        <v>17</v>
      </c>
      <c r="O631">
        <f t="shared" si="46"/>
        <v>4</v>
      </c>
      <c r="P631" t="str">
        <f t="shared" si="47"/>
        <v>Observed Better</v>
      </c>
      <c r="Q631" t="str">
        <f t="shared" si="48"/>
        <v>April</v>
      </c>
      <c r="R631" t="str">
        <f t="shared" si="49"/>
        <v>Week 17</v>
      </c>
    </row>
    <row r="632" spans="1:18" x14ac:dyDescent="0.2">
      <c r="A632" s="11">
        <v>243894</v>
      </c>
      <c r="B632" s="2">
        <v>45403</v>
      </c>
      <c r="C632" t="s">
        <v>65</v>
      </c>
      <c r="D632" t="s">
        <v>66</v>
      </c>
      <c r="E632" t="s">
        <v>20</v>
      </c>
      <c r="F632" t="s">
        <v>21</v>
      </c>
      <c r="G632" t="s">
        <v>73</v>
      </c>
      <c r="H632" t="s">
        <v>67</v>
      </c>
      <c r="I632" t="s">
        <v>878</v>
      </c>
      <c r="J632" t="s">
        <v>115</v>
      </c>
      <c r="K632" t="s">
        <v>116</v>
      </c>
      <c r="L632" t="s">
        <v>70</v>
      </c>
      <c r="N632">
        <f t="shared" si="45"/>
        <v>17</v>
      </c>
      <c r="O632">
        <f t="shared" si="46"/>
        <v>4</v>
      </c>
      <c r="P632" t="str">
        <f t="shared" si="47"/>
        <v>Observed Better</v>
      </c>
      <c r="Q632" t="str">
        <f t="shared" si="48"/>
        <v>April</v>
      </c>
      <c r="R632" t="str">
        <f t="shared" si="49"/>
        <v>Week 17</v>
      </c>
    </row>
    <row r="633" spans="1:18" x14ac:dyDescent="0.2">
      <c r="A633" s="11">
        <v>243895</v>
      </c>
      <c r="B633" s="2">
        <v>45403</v>
      </c>
      <c r="C633" t="s">
        <v>65</v>
      </c>
      <c r="D633" t="s">
        <v>66</v>
      </c>
      <c r="E633" t="s">
        <v>20</v>
      </c>
      <c r="F633" t="s">
        <v>21</v>
      </c>
      <c r="G633" t="s">
        <v>73</v>
      </c>
      <c r="H633" t="s">
        <v>67</v>
      </c>
      <c r="I633" t="s">
        <v>878</v>
      </c>
      <c r="J633" t="s">
        <v>115</v>
      </c>
      <c r="K633" t="s">
        <v>116</v>
      </c>
      <c r="L633" t="s">
        <v>70</v>
      </c>
      <c r="N633">
        <f t="shared" si="45"/>
        <v>17</v>
      </c>
      <c r="O633">
        <f t="shared" si="46"/>
        <v>4</v>
      </c>
      <c r="P633" t="str">
        <f t="shared" si="47"/>
        <v>Observed Better</v>
      </c>
      <c r="Q633" t="str">
        <f t="shared" si="48"/>
        <v>April</v>
      </c>
      <c r="R633" t="str">
        <f t="shared" si="49"/>
        <v>Week 17</v>
      </c>
    </row>
    <row r="634" spans="1:18" ht="60" customHeight="1" x14ac:dyDescent="0.2">
      <c r="A634" s="11">
        <v>243896</v>
      </c>
      <c r="B634" s="2">
        <v>45404</v>
      </c>
      <c r="C634" t="s">
        <v>65</v>
      </c>
      <c r="D634" t="s">
        <v>66</v>
      </c>
      <c r="E634" t="s">
        <v>8</v>
      </c>
      <c r="F634" t="s">
        <v>9</v>
      </c>
      <c r="G634" t="s">
        <v>203</v>
      </c>
      <c r="H634" t="s">
        <v>67</v>
      </c>
      <c r="I634" t="s">
        <v>879</v>
      </c>
      <c r="J634" t="s">
        <v>880</v>
      </c>
      <c r="K634" t="s">
        <v>881</v>
      </c>
      <c r="L634" t="s">
        <v>77</v>
      </c>
      <c r="M634" s="8" t="s">
        <v>882</v>
      </c>
      <c r="N634">
        <f t="shared" si="45"/>
        <v>17</v>
      </c>
      <c r="O634">
        <f t="shared" si="46"/>
        <v>4</v>
      </c>
      <c r="P634" t="str">
        <f t="shared" si="47"/>
        <v>Provided Guidance</v>
      </c>
      <c r="Q634" t="str">
        <f t="shared" si="48"/>
        <v>April</v>
      </c>
      <c r="R634" t="str">
        <f t="shared" si="49"/>
        <v>Week 17</v>
      </c>
    </row>
    <row r="635" spans="1:18" x14ac:dyDescent="0.2">
      <c r="A635" s="11">
        <v>243897</v>
      </c>
      <c r="B635" s="2">
        <v>45404</v>
      </c>
      <c r="C635" t="s">
        <v>65</v>
      </c>
      <c r="D635" t="s">
        <v>66</v>
      </c>
      <c r="E635" t="s">
        <v>8</v>
      </c>
      <c r="F635" t="s">
        <v>9</v>
      </c>
      <c r="G635" t="s">
        <v>203</v>
      </c>
      <c r="H635" t="s">
        <v>67</v>
      </c>
      <c r="I635" t="s">
        <v>883</v>
      </c>
      <c r="J635" t="s">
        <v>884</v>
      </c>
      <c r="K635" t="s">
        <v>885</v>
      </c>
      <c r="L635" t="s">
        <v>77</v>
      </c>
      <c r="M635" t="s">
        <v>886</v>
      </c>
      <c r="N635">
        <f t="shared" si="45"/>
        <v>17</v>
      </c>
      <c r="O635">
        <f t="shared" si="46"/>
        <v>4</v>
      </c>
      <c r="P635" t="str">
        <f t="shared" si="47"/>
        <v>Provided Guidance</v>
      </c>
      <c r="Q635" t="str">
        <f t="shared" si="48"/>
        <v>April</v>
      </c>
      <c r="R635" t="str">
        <f t="shared" si="49"/>
        <v>Week 17</v>
      </c>
    </row>
    <row r="636" spans="1:18" x14ac:dyDescent="0.2">
      <c r="A636" s="11">
        <v>243898</v>
      </c>
      <c r="B636" s="2">
        <v>45405</v>
      </c>
      <c r="C636" t="s">
        <v>65</v>
      </c>
      <c r="D636" t="s">
        <v>66</v>
      </c>
      <c r="E636" t="s">
        <v>16</v>
      </c>
      <c r="F636" t="s">
        <v>17</v>
      </c>
      <c r="H636" t="s">
        <v>67</v>
      </c>
      <c r="I636" t="s">
        <v>887</v>
      </c>
      <c r="J636" t="s">
        <v>772</v>
      </c>
      <c r="K636" t="s">
        <v>773</v>
      </c>
      <c r="L636" t="s">
        <v>70</v>
      </c>
      <c r="N636">
        <f t="shared" si="45"/>
        <v>17</v>
      </c>
      <c r="O636">
        <f t="shared" si="46"/>
        <v>4</v>
      </c>
      <c r="P636" t="str">
        <f t="shared" si="47"/>
        <v>Observed Better</v>
      </c>
      <c r="Q636" t="str">
        <f t="shared" si="48"/>
        <v>April</v>
      </c>
      <c r="R636" t="str">
        <f t="shared" si="49"/>
        <v>Week 17</v>
      </c>
    </row>
    <row r="637" spans="1:18" x14ac:dyDescent="0.2">
      <c r="A637" s="11">
        <v>243899</v>
      </c>
      <c r="B637" s="2">
        <v>45405</v>
      </c>
      <c r="C637" t="s">
        <v>65</v>
      </c>
      <c r="D637" t="s">
        <v>66</v>
      </c>
      <c r="E637" t="s">
        <v>16</v>
      </c>
      <c r="F637" t="s">
        <v>19</v>
      </c>
      <c r="H637" t="s">
        <v>67</v>
      </c>
      <c r="I637" t="s">
        <v>888</v>
      </c>
      <c r="J637" t="s">
        <v>772</v>
      </c>
      <c r="K637" t="s">
        <v>773</v>
      </c>
      <c r="L637" t="s">
        <v>70</v>
      </c>
      <c r="N637">
        <f t="shared" si="45"/>
        <v>17</v>
      </c>
      <c r="O637">
        <f t="shared" si="46"/>
        <v>4</v>
      </c>
      <c r="P637" t="str">
        <f t="shared" si="47"/>
        <v>Observed Better</v>
      </c>
      <c r="Q637" t="str">
        <f t="shared" si="48"/>
        <v>April</v>
      </c>
      <c r="R637" t="str">
        <f t="shared" si="49"/>
        <v>Week 17</v>
      </c>
    </row>
    <row r="638" spans="1:18" x14ac:dyDescent="0.2">
      <c r="A638" s="11">
        <v>243900</v>
      </c>
      <c r="B638" s="2">
        <v>45405</v>
      </c>
      <c r="C638" t="s">
        <v>65</v>
      </c>
      <c r="D638" t="s">
        <v>66</v>
      </c>
      <c r="E638" t="s">
        <v>11</v>
      </c>
      <c r="F638" t="s">
        <v>12</v>
      </c>
      <c r="G638" t="s">
        <v>15</v>
      </c>
      <c r="H638" t="s">
        <v>67</v>
      </c>
      <c r="I638" t="s">
        <v>889</v>
      </c>
      <c r="J638" t="s">
        <v>772</v>
      </c>
      <c r="K638" t="s">
        <v>773</v>
      </c>
      <c r="L638" t="s">
        <v>70</v>
      </c>
      <c r="N638">
        <f t="shared" si="45"/>
        <v>17</v>
      </c>
      <c r="O638">
        <f t="shared" si="46"/>
        <v>4</v>
      </c>
      <c r="P638" t="str">
        <f t="shared" si="47"/>
        <v>Observed Better</v>
      </c>
      <c r="Q638" t="str">
        <f t="shared" si="48"/>
        <v>April</v>
      </c>
      <c r="R638" t="str">
        <f t="shared" si="49"/>
        <v>Week 17</v>
      </c>
    </row>
    <row r="639" spans="1:18" x14ac:dyDescent="0.2">
      <c r="A639" s="11">
        <v>243905</v>
      </c>
      <c r="B639" s="2">
        <v>45405</v>
      </c>
      <c r="C639" t="s">
        <v>65</v>
      </c>
      <c r="D639" t="s">
        <v>66</v>
      </c>
      <c r="E639" t="s">
        <v>11</v>
      </c>
      <c r="F639" t="s">
        <v>220</v>
      </c>
      <c r="H639" t="s">
        <v>67</v>
      </c>
      <c r="I639" t="s">
        <v>890</v>
      </c>
      <c r="J639" t="s">
        <v>34</v>
      </c>
      <c r="K639" t="s">
        <v>295</v>
      </c>
      <c r="L639" t="s">
        <v>77</v>
      </c>
      <c r="M639" t="s">
        <v>357</v>
      </c>
      <c r="N639">
        <f t="shared" si="45"/>
        <v>17</v>
      </c>
      <c r="O639">
        <f t="shared" si="46"/>
        <v>4</v>
      </c>
      <c r="P639" t="str">
        <f t="shared" si="47"/>
        <v>Provided Guidance</v>
      </c>
      <c r="Q639" t="str">
        <f t="shared" si="48"/>
        <v>April</v>
      </c>
      <c r="R639" t="str">
        <f t="shared" si="49"/>
        <v>Week 17</v>
      </c>
    </row>
    <row r="640" spans="1:18" x14ac:dyDescent="0.2">
      <c r="A640" s="11">
        <v>243906</v>
      </c>
      <c r="B640" s="2">
        <v>45406</v>
      </c>
      <c r="C640" t="s">
        <v>65</v>
      </c>
      <c r="D640" t="s">
        <v>66</v>
      </c>
      <c r="E640" t="s">
        <v>8</v>
      </c>
      <c r="F640" t="s">
        <v>9</v>
      </c>
      <c r="G640" t="s">
        <v>203</v>
      </c>
      <c r="H640" t="s">
        <v>67</v>
      </c>
      <c r="I640" t="s">
        <v>891</v>
      </c>
      <c r="J640" t="s">
        <v>892</v>
      </c>
      <c r="K640" t="s">
        <v>893</v>
      </c>
      <c r="L640" t="s">
        <v>70</v>
      </c>
      <c r="M640" t="s">
        <v>894</v>
      </c>
      <c r="N640">
        <f t="shared" si="45"/>
        <v>17</v>
      </c>
      <c r="O640">
        <f t="shared" si="46"/>
        <v>4</v>
      </c>
      <c r="P640" t="str">
        <f t="shared" si="47"/>
        <v>Observed Better</v>
      </c>
      <c r="Q640" t="str">
        <f t="shared" si="48"/>
        <v>April</v>
      </c>
      <c r="R640" t="str">
        <f t="shared" si="49"/>
        <v>Week 17</v>
      </c>
    </row>
    <row r="641" spans="1:18" x14ac:dyDescent="0.2">
      <c r="A641" s="11">
        <v>243907</v>
      </c>
      <c r="B641" s="2">
        <v>45406</v>
      </c>
      <c r="C641" t="s">
        <v>65</v>
      </c>
      <c r="D641" t="s">
        <v>66</v>
      </c>
      <c r="E641" t="s">
        <v>8</v>
      </c>
      <c r="F641" t="s">
        <v>9</v>
      </c>
      <c r="G641" t="s">
        <v>203</v>
      </c>
      <c r="H641" t="s">
        <v>67</v>
      </c>
      <c r="I641" t="s">
        <v>891</v>
      </c>
      <c r="J641" t="s">
        <v>892</v>
      </c>
      <c r="K641" t="s">
        <v>893</v>
      </c>
      <c r="L641" t="s">
        <v>70</v>
      </c>
      <c r="M641" t="s">
        <v>894</v>
      </c>
      <c r="N641">
        <f t="shared" si="45"/>
        <v>17</v>
      </c>
      <c r="O641">
        <f t="shared" si="46"/>
        <v>4</v>
      </c>
      <c r="P641" t="str">
        <f t="shared" si="47"/>
        <v>Observed Better</v>
      </c>
      <c r="Q641" t="str">
        <f t="shared" si="48"/>
        <v>April</v>
      </c>
      <c r="R641" t="str">
        <f t="shared" si="49"/>
        <v>Week 17</v>
      </c>
    </row>
    <row r="642" spans="1:18" x14ac:dyDescent="0.2">
      <c r="A642" s="11">
        <v>243908</v>
      </c>
      <c r="B642" s="2">
        <v>45406</v>
      </c>
      <c r="C642" t="s">
        <v>65</v>
      </c>
      <c r="D642" t="s">
        <v>66</v>
      </c>
      <c r="E642" t="s">
        <v>8</v>
      </c>
      <c r="F642" t="s">
        <v>9</v>
      </c>
      <c r="G642" t="s">
        <v>203</v>
      </c>
      <c r="H642" t="s">
        <v>67</v>
      </c>
      <c r="I642" t="s">
        <v>895</v>
      </c>
      <c r="J642" t="s">
        <v>892</v>
      </c>
      <c r="K642" t="s">
        <v>893</v>
      </c>
      <c r="L642" t="s">
        <v>70</v>
      </c>
      <c r="M642" t="s">
        <v>896</v>
      </c>
      <c r="N642">
        <f t="shared" ref="N642:N705" si="50">IF(ISBLANK(B642)," ",WEEKNUM(B642))</f>
        <v>17</v>
      </c>
      <c r="O642">
        <f t="shared" ref="O642:O705" si="51">IF(ISBLANK(B642)," ",MONTH(B642))</f>
        <v>4</v>
      </c>
      <c r="P642" t="str">
        <f t="shared" ref="P642:P705" si="52">IF(ISNUMBER(SEARCH("provided",L642)),"Provided Guidance","Observed Better")</f>
        <v>Observed Better</v>
      </c>
      <c r="Q642" t="str">
        <f t="shared" ref="Q642:Q705" si="53">IF(O642=" "," ",TEXT(O642*29,"mmmm"))</f>
        <v>April</v>
      </c>
      <c r="R642" t="str">
        <f t="shared" ref="R642:R705" si="54">IF(N642=" "," ",_xlfn.CONCAT("Week ",+TEXT(N642,"0")))</f>
        <v>Week 17</v>
      </c>
    </row>
    <row r="643" spans="1:18" x14ac:dyDescent="0.2">
      <c r="A643" s="11">
        <v>243909</v>
      </c>
      <c r="B643" s="2">
        <v>45406</v>
      </c>
      <c r="C643" t="s">
        <v>65</v>
      </c>
      <c r="D643" t="s">
        <v>66</v>
      </c>
      <c r="E643" t="s">
        <v>8</v>
      </c>
      <c r="F643" t="s">
        <v>9</v>
      </c>
      <c r="G643" t="s">
        <v>203</v>
      </c>
      <c r="H643" t="s">
        <v>67</v>
      </c>
      <c r="I643" t="s">
        <v>895</v>
      </c>
      <c r="J643" t="s">
        <v>892</v>
      </c>
      <c r="K643" t="s">
        <v>893</v>
      </c>
      <c r="L643" t="s">
        <v>70</v>
      </c>
      <c r="M643" t="s">
        <v>896</v>
      </c>
      <c r="N643">
        <f t="shared" si="50"/>
        <v>17</v>
      </c>
      <c r="O643">
        <f t="shared" si="51"/>
        <v>4</v>
      </c>
      <c r="P643" t="str">
        <f t="shared" si="52"/>
        <v>Observed Better</v>
      </c>
      <c r="Q643" t="str">
        <f t="shared" si="53"/>
        <v>April</v>
      </c>
      <c r="R643" t="str">
        <f t="shared" si="54"/>
        <v>Week 17</v>
      </c>
    </row>
    <row r="644" spans="1:18" x14ac:dyDescent="0.2">
      <c r="A644" s="11">
        <v>243910</v>
      </c>
      <c r="B644" s="2">
        <v>45406</v>
      </c>
      <c r="C644" t="s">
        <v>65</v>
      </c>
      <c r="D644" t="s">
        <v>66</v>
      </c>
      <c r="E644" t="s">
        <v>11</v>
      </c>
      <c r="F644" t="s">
        <v>12</v>
      </c>
      <c r="G644" t="s">
        <v>15</v>
      </c>
      <c r="H644" t="s">
        <v>67</v>
      </c>
      <c r="I644" t="s">
        <v>897</v>
      </c>
      <c r="J644" t="s">
        <v>772</v>
      </c>
      <c r="K644" t="s">
        <v>773</v>
      </c>
      <c r="L644" t="s">
        <v>70</v>
      </c>
      <c r="N644">
        <f t="shared" si="50"/>
        <v>17</v>
      </c>
      <c r="O644">
        <f t="shared" si="51"/>
        <v>4</v>
      </c>
      <c r="P644" t="str">
        <f t="shared" si="52"/>
        <v>Observed Better</v>
      </c>
      <c r="Q644" t="str">
        <f t="shared" si="53"/>
        <v>April</v>
      </c>
      <c r="R644" t="str">
        <f t="shared" si="54"/>
        <v>Week 17</v>
      </c>
    </row>
    <row r="645" spans="1:18" x14ac:dyDescent="0.2">
      <c r="A645" s="11">
        <v>243911</v>
      </c>
      <c r="B645" s="2">
        <v>45406</v>
      </c>
      <c r="C645" t="s">
        <v>65</v>
      </c>
      <c r="D645" t="s">
        <v>66</v>
      </c>
      <c r="E645" t="s">
        <v>8</v>
      </c>
      <c r="F645" t="s">
        <v>9</v>
      </c>
      <c r="G645" t="s">
        <v>203</v>
      </c>
      <c r="H645" t="s">
        <v>67</v>
      </c>
      <c r="I645" t="s">
        <v>898</v>
      </c>
      <c r="J645" t="s">
        <v>892</v>
      </c>
      <c r="K645" t="s">
        <v>893</v>
      </c>
      <c r="L645" t="s">
        <v>70</v>
      </c>
      <c r="M645" t="s">
        <v>899</v>
      </c>
      <c r="N645">
        <f t="shared" si="50"/>
        <v>17</v>
      </c>
      <c r="O645">
        <f t="shared" si="51"/>
        <v>4</v>
      </c>
      <c r="P645" t="str">
        <f t="shared" si="52"/>
        <v>Observed Better</v>
      </c>
      <c r="Q645" t="str">
        <f t="shared" si="53"/>
        <v>April</v>
      </c>
      <c r="R645" t="str">
        <f t="shared" si="54"/>
        <v>Week 17</v>
      </c>
    </row>
    <row r="646" spans="1:18" x14ac:dyDescent="0.2">
      <c r="A646" s="11">
        <v>243912</v>
      </c>
      <c r="B646" s="2">
        <v>45406</v>
      </c>
      <c r="C646" t="s">
        <v>65</v>
      </c>
      <c r="D646" t="s">
        <v>66</v>
      </c>
      <c r="E646" t="s">
        <v>8</v>
      </c>
      <c r="F646" t="s">
        <v>9</v>
      </c>
      <c r="G646" t="s">
        <v>203</v>
      </c>
      <c r="H646" t="s">
        <v>67</v>
      </c>
      <c r="I646" t="s">
        <v>898</v>
      </c>
      <c r="J646" t="s">
        <v>892</v>
      </c>
      <c r="K646" t="s">
        <v>893</v>
      </c>
      <c r="L646" t="s">
        <v>70</v>
      </c>
      <c r="M646" t="s">
        <v>899</v>
      </c>
      <c r="N646">
        <f t="shared" si="50"/>
        <v>17</v>
      </c>
      <c r="O646">
        <f t="shared" si="51"/>
        <v>4</v>
      </c>
      <c r="P646" t="str">
        <f t="shared" si="52"/>
        <v>Observed Better</v>
      </c>
      <c r="Q646" t="str">
        <f t="shared" si="53"/>
        <v>April</v>
      </c>
      <c r="R646" t="str">
        <f t="shared" si="54"/>
        <v>Week 17</v>
      </c>
    </row>
    <row r="647" spans="1:18" x14ac:dyDescent="0.2">
      <c r="A647" s="11">
        <v>243913</v>
      </c>
      <c r="B647" s="2">
        <v>45406</v>
      </c>
      <c r="C647" t="s">
        <v>65</v>
      </c>
      <c r="D647" t="s">
        <v>66</v>
      </c>
      <c r="E647" t="s">
        <v>8</v>
      </c>
      <c r="F647" t="s">
        <v>9</v>
      </c>
      <c r="G647" t="s">
        <v>203</v>
      </c>
      <c r="H647" t="s">
        <v>67</v>
      </c>
      <c r="I647" t="s">
        <v>900</v>
      </c>
      <c r="J647" t="s">
        <v>892</v>
      </c>
      <c r="K647" t="s">
        <v>893</v>
      </c>
      <c r="L647" t="s">
        <v>70</v>
      </c>
      <c r="M647" t="s">
        <v>901</v>
      </c>
      <c r="N647">
        <f t="shared" si="50"/>
        <v>17</v>
      </c>
      <c r="O647">
        <f t="shared" si="51"/>
        <v>4</v>
      </c>
      <c r="P647" t="str">
        <f t="shared" si="52"/>
        <v>Observed Better</v>
      </c>
      <c r="Q647" t="str">
        <f t="shared" si="53"/>
        <v>April</v>
      </c>
      <c r="R647" t="str">
        <f t="shared" si="54"/>
        <v>Week 17</v>
      </c>
    </row>
    <row r="648" spans="1:18" x14ac:dyDescent="0.2">
      <c r="A648" s="11">
        <v>243914</v>
      </c>
      <c r="B648" s="2">
        <v>45406</v>
      </c>
      <c r="C648" t="s">
        <v>65</v>
      </c>
      <c r="D648" t="s">
        <v>66</v>
      </c>
      <c r="E648" t="s">
        <v>8</v>
      </c>
      <c r="F648" t="s">
        <v>9</v>
      </c>
      <c r="G648" t="s">
        <v>203</v>
      </c>
      <c r="H648" t="s">
        <v>67</v>
      </c>
      <c r="I648" t="s">
        <v>900</v>
      </c>
      <c r="J648" t="s">
        <v>892</v>
      </c>
      <c r="K648" t="s">
        <v>893</v>
      </c>
      <c r="L648" t="s">
        <v>70</v>
      </c>
      <c r="M648" t="s">
        <v>901</v>
      </c>
      <c r="N648">
        <f t="shared" si="50"/>
        <v>17</v>
      </c>
      <c r="O648">
        <f t="shared" si="51"/>
        <v>4</v>
      </c>
      <c r="P648" t="str">
        <f t="shared" si="52"/>
        <v>Observed Better</v>
      </c>
      <c r="Q648" t="str">
        <f t="shared" si="53"/>
        <v>April</v>
      </c>
      <c r="R648" t="str">
        <f t="shared" si="54"/>
        <v>Week 17</v>
      </c>
    </row>
    <row r="649" spans="1:18" x14ac:dyDescent="0.2">
      <c r="A649" s="11">
        <v>243915</v>
      </c>
      <c r="B649" s="2">
        <v>45406</v>
      </c>
      <c r="C649" t="s">
        <v>65</v>
      </c>
      <c r="D649" t="s">
        <v>66</v>
      </c>
      <c r="E649" t="s">
        <v>8</v>
      </c>
      <c r="F649" t="s">
        <v>9</v>
      </c>
      <c r="G649" t="s">
        <v>203</v>
      </c>
      <c r="H649" t="s">
        <v>67</v>
      </c>
      <c r="I649" t="s">
        <v>902</v>
      </c>
      <c r="J649" t="s">
        <v>892</v>
      </c>
      <c r="K649" t="s">
        <v>893</v>
      </c>
      <c r="L649" t="s">
        <v>70</v>
      </c>
      <c r="M649" t="s">
        <v>903</v>
      </c>
      <c r="N649">
        <f t="shared" si="50"/>
        <v>17</v>
      </c>
      <c r="O649">
        <f t="shared" si="51"/>
        <v>4</v>
      </c>
      <c r="P649" t="str">
        <f t="shared" si="52"/>
        <v>Observed Better</v>
      </c>
      <c r="Q649" t="str">
        <f t="shared" si="53"/>
        <v>April</v>
      </c>
      <c r="R649" t="str">
        <f t="shared" si="54"/>
        <v>Week 17</v>
      </c>
    </row>
    <row r="650" spans="1:18" x14ac:dyDescent="0.2">
      <c r="A650" s="11">
        <v>243916</v>
      </c>
      <c r="B650" s="2">
        <v>45406</v>
      </c>
      <c r="C650" t="s">
        <v>65</v>
      </c>
      <c r="D650" t="s">
        <v>66</v>
      </c>
      <c r="E650" t="s">
        <v>8</v>
      </c>
      <c r="F650" t="s">
        <v>9</v>
      </c>
      <c r="G650" t="s">
        <v>203</v>
      </c>
      <c r="H650" t="s">
        <v>67</v>
      </c>
      <c r="I650" t="s">
        <v>902</v>
      </c>
      <c r="J650" t="s">
        <v>892</v>
      </c>
      <c r="K650" t="s">
        <v>893</v>
      </c>
      <c r="L650" t="s">
        <v>70</v>
      </c>
      <c r="M650" t="s">
        <v>903</v>
      </c>
      <c r="N650">
        <f t="shared" si="50"/>
        <v>17</v>
      </c>
      <c r="O650">
        <f t="shared" si="51"/>
        <v>4</v>
      </c>
      <c r="P650" t="str">
        <f t="shared" si="52"/>
        <v>Observed Better</v>
      </c>
      <c r="Q650" t="str">
        <f t="shared" si="53"/>
        <v>April</v>
      </c>
      <c r="R650" t="str">
        <f t="shared" si="54"/>
        <v>Week 17</v>
      </c>
    </row>
    <row r="651" spans="1:18" x14ac:dyDescent="0.2">
      <c r="A651" s="11">
        <v>243917</v>
      </c>
      <c r="B651" s="2">
        <v>45406</v>
      </c>
      <c r="C651" t="s">
        <v>65</v>
      </c>
      <c r="D651" t="s">
        <v>66</v>
      </c>
      <c r="E651" t="s">
        <v>8</v>
      </c>
      <c r="F651" t="s">
        <v>9</v>
      </c>
      <c r="G651" t="s">
        <v>203</v>
      </c>
      <c r="H651" t="s">
        <v>67</v>
      </c>
      <c r="I651" t="s">
        <v>904</v>
      </c>
      <c r="J651" t="s">
        <v>892</v>
      </c>
      <c r="K651" t="s">
        <v>893</v>
      </c>
      <c r="L651" t="s">
        <v>70</v>
      </c>
      <c r="M651" t="s">
        <v>905</v>
      </c>
      <c r="N651">
        <f t="shared" si="50"/>
        <v>17</v>
      </c>
      <c r="O651">
        <f t="shared" si="51"/>
        <v>4</v>
      </c>
      <c r="P651" t="str">
        <f t="shared" si="52"/>
        <v>Observed Better</v>
      </c>
      <c r="Q651" t="str">
        <f t="shared" si="53"/>
        <v>April</v>
      </c>
      <c r="R651" t="str">
        <f t="shared" si="54"/>
        <v>Week 17</v>
      </c>
    </row>
    <row r="652" spans="1:18" x14ac:dyDescent="0.2">
      <c r="A652" s="11">
        <v>243918</v>
      </c>
      <c r="B652" s="2">
        <v>45406</v>
      </c>
      <c r="C652" t="s">
        <v>65</v>
      </c>
      <c r="D652" t="s">
        <v>66</v>
      </c>
      <c r="E652" t="s">
        <v>8</v>
      </c>
      <c r="F652" t="s">
        <v>9</v>
      </c>
      <c r="G652" t="s">
        <v>203</v>
      </c>
      <c r="H652" t="s">
        <v>67</v>
      </c>
      <c r="I652" t="s">
        <v>904</v>
      </c>
      <c r="J652" t="s">
        <v>892</v>
      </c>
      <c r="K652" t="s">
        <v>893</v>
      </c>
      <c r="L652" t="s">
        <v>70</v>
      </c>
      <c r="M652" t="s">
        <v>905</v>
      </c>
      <c r="N652">
        <f t="shared" si="50"/>
        <v>17</v>
      </c>
      <c r="O652">
        <f t="shared" si="51"/>
        <v>4</v>
      </c>
      <c r="P652" t="str">
        <f t="shared" si="52"/>
        <v>Observed Better</v>
      </c>
      <c r="Q652" t="str">
        <f t="shared" si="53"/>
        <v>April</v>
      </c>
      <c r="R652" t="str">
        <f t="shared" si="54"/>
        <v>Week 17</v>
      </c>
    </row>
    <row r="653" spans="1:18" x14ac:dyDescent="0.2">
      <c r="A653" s="11">
        <v>243919</v>
      </c>
      <c r="B653" s="2">
        <v>45406</v>
      </c>
      <c r="C653" t="s">
        <v>65</v>
      </c>
      <c r="D653" t="s">
        <v>66</v>
      </c>
      <c r="E653" t="s">
        <v>8</v>
      </c>
      <c r="F653" t="s">
        <v>9</v>
      </c>
      <c r="G653" t="s">
        <v>203</v>
      </c>
      <c r="H653" t="s">
        <v>67</v>
      </c>
      <c r="I653" t="s">
        <v>906</v>
      </c>
      <c r="J653" t="s">
        <v>892</v>
      </c>
      <c r="K653" t="s">
        <v>893</v>
      </c>
      <c r="L653" t="s">
        <v>70</v>
      </c>
      <c r="M653" t="s">
        <v>907</v>
      </c>
      <c r="N653">
        <f t="shared" si="50"/>
        <v>17</v>
      </c>
      <c r="O653">
        <f t="shared" si="51"/>
        <v>4</v>
      </c>
      <c r="P653" t="str">
        <f t="shared" si="52"/>
        <v>Observed Better</v>
      </c>
      <c r="Q653" t="str">
        <f t="shared" si="53"/>
        <v>April</v>
      </c>
      <c r="R653" t="str">
        <f t="shared" si="54"/>
        <v>Week 17</v>
      </c>
    </row>
    <row r="654" spans="1:18" x14ac:dyDescent="0.2">
      <c r="A654" s="11">
        <v>243920</v>
      </c>
      <c r="B654" s="2">
        <v>45406</v>
      </c>
      <c r="C654" t="s">
        <v>65</v>
      </c>
      <c r="D654" t="s">
        <v>66</v>
      </c>
      <c r="E654" t="s">
        <v>8</v>
      </c>
      <c r="F654" t="s">
        <v>9</v>
      </c>
      <c r="G654" t="s">
        <v>203</v>
      </c>
      <c r="H654" t="s">
        <v>67</v>
      </c>
      <c r="I654" t="s">
        <v>906</v>
      </c>
      <c r="J654" t="s">
        <v>892</v>
      </c>
      <c r="K654" t="s">
        <v>893</v>
      </c>
      <c r="L654" t="s">
        <v>70</v>
      </c>
      <c r="M654" t="s">
        <v>907</v>
      </c>
      <c r="N654">
        <f t="shared" si="50"/>
        <v>17</v>
      </c>
      <c r="O654">
        <f t="shared" si="51"/>
        <v>4</v>
      </c>
      <c r="P654" t="str">
        <f t="shared" si="52"/>
        <v>Observed Better</v>
      </c>
      <c r="Q654" t="str">
        <f t="shared" si="53"/>
        <v>April</v>
      </c>
      <c r="R654" t="str">
        <f t="shared" si="54"/>
        <v>Week 17</v>
      </c>
    </row>
    <row r="655" spans="1:18" x14ac:dyDescent="0.2">
      <c r="A655" s="11">
        <v>243924</v>
      </c>
      <c r="B655" s="2">
        <v>45407</v>
      </c>
      <c r="C655" t="s">
        <v>65</v>
      </c>
      <c r="D655" t="s">
        <v>66</v>
      </c>
      <c r="E655" t="s">
        <v>11</v>
      </c>
      <c r="F655" t="s">
        <v>220</v>
      </c>
      <c r="H655" t="s">
        <v>67</v>
      </c>
      <c r="I655" t="s">
        <v>908</v>
      </c>
      <c r="J655" t="s">
        <v>772</v>
      </c>
      <c r="K655" t="s">
        <v>773</v>
      </c>
      <c r="L655" t="s">
        <v>70</v>
      </c>
      <c r="N655">
        <f t="shared" si="50"/>
        <v>17</v>
      </c>
      <c r="O655">
        <f t="shared" si="51"/>
        <v>4</v>
      </c>
      <c r="P655" t="str">
        <f t="shared" si="52"/>
        <v>Observed Better</v>
      </c>
      <c r="Q655" t="str">
        <f t="shared" si="53"/>
        <v>April</v>
      </c>
      <c r="R655" t="str">
        <f t="shared" si="54"/>
        <v>Week 17</v>
      </c>
    </row>
    <row r="656" spans="1:18" x14ac:dyDescent="0.2">
      <c r="A656" s="11">
        <v>243925</v>
      </c>
      <c r="B656" s="2">
        <v>45407</v>
      </c>
      <c r="C656" t="s">
        <v>65</v>
      </c>
      <c r="D656" t="s">
        <v>66</v>
      </c>
      <c r="E656" t="s">
        <v>11</v>
      </c>
      <c r="F656" t="s">
        <v>134</v>
      </c>
      <c r="G656" t="s">
        <v>135</v>
      </c>
      <c r="H656" t="s">
        <v>67</v>
      </c>
      <c r="I656" t="s">
        <v>909</v>
      </c>
      <c r="J656" t="s">
        <v>772</v>
      </c>
      <c r="K656" t="s">
        <v>773</v>
      </c>
      <c r="L656" t="s">
        <v>70</v>
      </c>
      <c r="N656">
        <f t="shared" si="50"/>
        <v>17</v>
      </c>
      <c r="O656">
        <f t="shared" si="51"/>
        <v>4</v>
      </c>
      <c r="P656" t="str">
        <f t="shared" si="52"/>
        <v>Observed Better</v>
      </c>
      <c r="Q656" t="str">
        <f t="shared" si="53"/>
        <v>April</v>
      </c>
      <c r="R656" t="str">
        <f t="shared" si="54"/>
        <v>Week 17</v>
      </c>
    </row>
    <row r="657" spans="1:18" ht="30" customHeight="1" x14ac:dyDescent="0.2">
      <c r="A657" s="11">
        <v>243929</v>
      </c>
      <c r="B657" s="2">
        <v>45407</v>
      </c>
      <c r="C657" t="s">
        <v>65</v>
      </c>
      <c r="D657" t="s">
        <v>66</v>
      </c>
      <c r="E657" t="s">
        <v>8</v>
      </c>
      <c r="F657" t="s">
        <v>9</v>
      </c>
      <c r="G657" t="s">
        <v>10</v>
      </c>
      <c r="H657" t="s">
        <v>67</v>
      </c>
      <c r="I657" t="s">
        <v>910</v>
      </c>
      <c r="J657" t="s">
        <v>251</v>
      </c>
      <c r="K657" t="s">
        <v>252</v>
      </c>
      <c r="L657" t="s">
        <v>77</v>
      </c>
      <c r="M657" s="8" t="s">
        <v>911</v>
      </c>
      <c r="N657">
        <f t="shared" si="50"/>
        <v>17</v>
      </c>
      <c r="O657">
        <f t="shared" si="51"/>
        <v>4</v>
      </c>
      <c r="P657" t="str">
        <f t="shared" si="52"/>
        <v>Provided Guidance</v>
      </c>
      <c r="Q657" t="str">
        <f t="shared" si="53"/>
        <v>April</v>
      </c>
      <c r="R657" t="str">
        <f t="shared" si="54"/>
        <v>Week 17</v>
      </c>
    </row>
    <row r="658" spans="1:18" x14ac:dyDescent="0.2">
      <c r="A658" s="11">
        <v>243930</v>
      </c>
      <c r="B658" s="2">
        <v>45407</v>
      </c>
      <c r="C658" t="s">
        <v>65</v>
      </c>
      <c r="D658" t="s">
        <v>66</v>
      </c>
      <c r="E658" t="s">
        <v>8</v>
      </c>
      <c r="F658" t="s">
        <v>9</v>
      </c>
      <c r="G658" t="s">
        <v>203</v>
      </c>
      <c r="H658" t="s">
        <v>67</v>
      </c>
      <c r="I658" t="s">
        <v>912</v>
      </c>
      <c r="J658" t="s">
        <v>251</v>
      </c>
      <c r="K658" t="s">
        <v>252</v>
      </c>
      <c r="L658" t="s">
        <v>77</v>
      </c>
      <c r="N658">
        <f t="shared" si="50"/>
        <v>17</v>
      </c>
      <c r="O658">
        <f t="shared" si="51"/>
        <v>4</v>
      </c>
      <c r="P658" t="str">
        <f t="shared" si="52"/>
        <v>Provided Guidance</v>
      </c>
      <c r="Q658" t="str">
        <f t="shared" si="53"/>
        <v>April</v>
      </c>
      <c r="R658" t="str">
        <f t="shared" si="54"/>
        <v>Week 17</v>
      </c>
    </row>
    <row r="659" spans="1:18" x14ac:dyDescent="0.2">
      <c r="A659" s="11">
        <v>243931</v>
      </c>
      <c r="B659" s="2">
        <v>45407</v>
      </c>
      <c r="C659" t="s">
        <v>65</v>
      </c>
      <c r="D659" t="s">
        <v>66</v>
      </c>
      <c r="E659" t="s">
        <v>8</v>
      </c>
      <c r="F659" t="s">
        <v>9</v>
      </c>
      <c r="G659" t="s">
        <v>11</v>
      </c>
      <c r="H659" t="s">
        <v>67</v>
      </c>
      <c r="I659" t="s">
        <v>913</v>
      </c>
      <c r="J659" t="s">
        <v>38</v>
      </c>
      <c r="K659" t="s">
        <v>97</v>
      </c>
      <c r="L659" t="s">
        <v>70</v>
      </c>
      <c r="M659" t="s">
        <v>914</v>
      </c>
      <c r="N659">
        <f t="shared" si="50"/>
        <v>17</v>
      </c>
      <c r="O659">
        <f t="shared" si="51"/>
        <v>4</v>
      </c>
      <c r="P659" t="str">
        <f t="shared" si="52"/>
        <v>Observed Better</v>
      </c>
      <c r="Q659" t="str">
        <f t="shared" si="53"/>
        <v>April</v>
      </c>
      <c r="R659" t="str">
        <f t="shared" si="54"/>
        <v>Week 17</v>
      </c>
    </row>
    <row r="660" spans="1:18" x14ac:dyDescent="0.2">
      <c r="A660" s="11">
        <v>243932</v>
      </c>
      <c r="B660" s="2">
        <v>45407</v>
      </c>
      <c r="C660" t="s">
        <v>65</v>
      </c>
      <c r="D660" t="s">
        <v>66</v>
      </c>
      <c r="E660" t="s">
        <v>11</v>
      </c>
      <c r="F660" t="s">
        <v>220</v>
      </c>
      <c r="H660" t="s">
        <v>67</v>
      </c>
      <c r="I660" t="s">
        <v>915</v>
      </c>
      <c r="J660" t="s">
        <v>38</v>
      </c>
      <c r="K660" t="s">
        <v>97</v>
      </c>
      <c r="L660" t="s">
        <v>70</v>
      </c>
      <c r="M660" t="s">
        <v>916</v>
      </c>
      <c r="N660">
        <f t="shared" si="50"/>
        <v>17</v>
      </c>
      <c r="O660">
        <f t="shared" si="51"/>
        <v>4</v>
      </c>
      <c r="P660" t="str">
        <f t="shared" si="52"/>
        <v>Observed Better</v>
      </c>
      <c r="Q660" t="str">
        <f t="shared" si="53"/>
        <v>April</v>
      </c>
      <c r="R660" t="str">
        <f t="shared" si="54"/>
        <v>Week 17</v>
      </c>
    </row>
    <row r="661" spans="1:18" x14ac:dyDescent="0.2">
      <c r="A661" s="11">
        <v>243933</v>
      </c>
      <c r="B661" s="2">
        <v>45407</v>
      </c>
      <c r="C661" t="s">
        <v>65</v>
      </c>
      <c r="D661" t="s">
        <v>66</v>
      </c>
      <c r="E661" t="s">
        <v>8</v>
      </c>
      <c r="F661" t="s">
        <v>9</v>
      </c>
      <c r="G661" t="s">
        <v>10</v>
      </c>
      <c r="H661" t="s">
        <v>67</v>
      </c>
      <c r="I661" t="s">
        <v>917</v>
      </c>
      <c r="J661" t="s">
        <v>38</v>
      </c>
      <c r="K661" t="s">
        <v>97</v>
      </c>
      <c r="L661" t="s">
        <v>70</v>
      </c>
      <c r="M661" t="s">
        <v>918</v>
      </c>
      <c r="N661">
        <f t="shared" si="50"/>
        <v>17</v>
      </c>
      <c r="O661">
        <f t="shared" si="51"/>
        <v>4</v>
      </c>
      <c r="P661" t="str">
        <f t="shared" si="52"/>
        <v>Observed Better</v>
      </c>
      <c r="Q661" t="str">
        <f t="shared" si="53"/>
        <v>April</v>
      </c>
      <c r="R661" t="str">
        <f t="shared" si="54"/>
        <v>Week 17</v>
      </c>
    </row>
    <row r="662" spans="1:18" x14ac:dyDescent="0.2">
      <c r="A662" s="11">
        <v>243934</v>
      </c>
      <c r="B662" s="2">
        <v>45407</v>
      </c>
      <c r="C662" t="s">
        <v>65</v>
      </c>
      <c r="D662" t="s">
        <v>66</v>
      </c>
      <c r="E662" t="s">
        <v>20</v>
      </c>
      <c r="F662" t="s">
        <v>21</v>
      </c>
      <c r="G662" t="s">
        <v>22</v>
      </c>
      <c r="H662" t="s">
        <v>67</v>
      </c>
      <c r="I662" t="s">
        <v>919</v>
      </c>
      <c r="J662" t="s">
        <v>38</v>
      </c>
      <c r="K662" t="s">
        <v>97</v>
      </c>
      <c r="L662" t="s">
        <v>77</v>
      </c>
      <c r="M662" t="s">
        <v>920</v>
      </c>
      <c r="N662">
        <f t="shared" si="50"/>
        <v>17</v>
      </c>
      <c r="O662">
        <f t="shared" si="51"/>
        <v>4</v>
      </c>
      <c r="P662" t="str">
        <f t="shared" si="52"/>
        <v>Provided Guidance</v>
      </c>
      <c r="Q662" t="str">
        <f t="shared" si="53"/>
        <v>April</v>
      </c>
      <c r="R662" t="str">
        <f t="shared" si="54"/>
        <v>Week 17</v>
      </c>
    </row>
    <row r="663" spans="1:18" x14ac:dyDescent="0.2">
      <c r="A663" s="11">
        <v>243935</v>
      </c>
      <c r="B663" s="2">
        <v>45407</v>
      </c>
      <c r="C663" t="s">
        <v>65</v>
      </c>
      <c r="D663" t="s">
        <v>66</v>
      </c>
      <c r="E663" t="s">
        <v>20</v>
      </c>
      <c r="F663" t="s">
        <v>235</v>
      </c>
      <c r="H663" t="s">
        <v>67</v>
      </c>
      <c r="I663" t="s">
        <v>921</v>
      </c>
      <c r="J663" t="s">
        <v>38</v>
      </c>
      <c r="K663" t="s">
        <v>97</v>
      </c>
      <c r="L663" t="s">
        <v>70</v>
      </c>
      <c r="M663" t="s">
        <v>922</v>
      </c>
      <c r="N663">
        <f t="shared" si="50"/>
        <v>17</v>
      </c>
      <c r="O663">
        <f t="shared" si="51"/>
        <v>4</v>
      </c>
      <c r="P663" t="str">
        <f t="shared" si="52"/>
        <v>Observed Better</v>
      </c>
      <c r="Q663" t="str">
        <f t="shared" si="53"/>
        <v>April</v>
      </c>
      <c r="R663" t="str">
        <f t="shared" si="54"/>
        <v>Week 17</v>
      </c>
    </row>
    <row r="664" spans="1:18" ht="75" customHeight="1" x14ac:dyDescent="0.2">
      <c r="A664" s="11">
        <v>243936</v>
      </c>
      <c r="B664" s="2">
        <v>45407</v>
      </c>
      <c r="C664" t="s">
        <v>65</v>
      </c>
      <c r="D664" t="s">
        <v>66</v>
      </c>
      <c r="E664" t="s">
        <v>11</v>
      </c>
      <c r="F664" t="s">
        <v>134</v>
      </c>
      <c r="G664" t="s">
        <v>135</v>
      </c>
      <c r="H664" t="s">
        <v>67</v>
      </c>
      <c r="I664" t="s">
        <v>923</v>
      </c>
      <c r="J664" t="s">
        <v>38</v>
      </c>
      <c r="K664" t="s">
        <v>97</v>
      </c>
      <c r="L664" t="s">
        <v>70</v>
      </c>
      <c r="M664" s="8" t="s">
        <v>924</v>
      </c>
      <c r="N664">
        <f t="shared" si="50"/>
        <v>17</v>
      </c>
      <c r="O664">
        <f t="shared" si="51"/>
        <v>4</v>
      </c>
      <c r="P664" t="str">
        <f t="shared" si="52"/>
        <v>Observed Better</v>
      </c>
      <c r="Q664" t="str">
        <f t="shared" si="53"/>
        <v>April</v>
      </c>
      <c r="R664" t="str">
        <f t="shared" si="54"/>
        <v>Week 17</v>
      </c>
    </row>
    <row r="665" spans="1:18" x14ac:dyDescent="0.2">
      <c r="A665" s="11">
        <v>243937</v>
      </c>
      <c r="B665" s="2">
        <v>45407</v>
      </c>
      <c r="C665" t="s">
        <v>65</v>
      </c>
      <c r="D665" t="s">
        <v>66</v>
      </c>
      <c r="E665" t="s">
        <v>16</v>
      </c>
      <c r="F665" t="s">
        <v>94</v>
      </c>
      <c r="H665" t="s">
        <v>67</v>
      </c>
      <c r="I665" t="s">
        <v>925</v>
      </c>
      <c r="J665" t="s">
        <v>38</v>
      </c>
      <c r="K665" t="s">
        <v>97</v>
      </c>
      <c r="L665" t="s">
        <v>70</v>
      </c>
      <c r="M665" t="s">
        <v>926</v>
      </c>
      <c r="N665">
        <f t="shared" si="50"/>
        <v>17</v>
      </c>
      <c r="O665">
        <f t="shared" si="51"/>
        <v>4</v>
      </c>
      <c r="P665" t="str">
        <f t="shared" si="52"/>
        <v>Observed Better</v>
      </c>
      <c r="Q665" t="str">
        <f t="shared" si="53"/>
        <v>April</v>
      </c>
      <c r="R665" t="str">
        <f t="shared" si="54"/>
        <v>Week 17</v>
      </c>
    </row>
    <row r="666" spans="1:18" x14ac:dyDescent="0.2">
      <c r="A666" s="11">
        <v>243938</v>
      </c>
      <c r="B666" s="2">
        <v>45407</v>
      </c>
      <c r="C666" t="s">
        <v>65</v>
      </c>
      <c r="D666" t="s">
        <v>66</v>
      </c>
      <c r="E666" t="s">
        <v>16</v>
      </c>
      <c r="F666" t="s">
        <v>17</v>
      </c>
      <c r="H666" t="s">
        <v>67</v>
      </c>
      <c r="I666" t="s">
        <v>927</v>
      </c>
      <c r="J666" t="s">
        <v>38</v>
      </c>
      <c r="K666" t="s">
        <v>97</v>
      </c>
      <c r="L666" t="s">
        <v>70</v>
      </c>
      <c r="M666" t="s">
        <v>928</v>
      </c>
      <c r="N666">
        <f t="shared" si="50"/>
        <v>17</v>
      </c>
      <c r="O666">
        <f t="shared" si="51"/>
        <v>4</v>
      </c>
      <c r="P666" t="str">
        <f t="shared" si="52"/>
        <v>Observed Better</v>
      </c>
      <c r="Q666" t="str">
        <f t="shared" si="53"/>
        <v>April</v>
      </c>
      <c r="R666" t="str">
        <f t="shared" si="54"/>
        <v>Week 17</v>
      </c>
    </row>
    <row r="667" spans="1:18" x14ac:dyDescent="0.2">
      <c r="A667" s="11">
        <v>243939</v>
      </c>
      <c r="B667" s="2">
        <v>45407</v>
      </c>
      <c r="C667" t="s">
        <v>65</v>
      </c>
      <c r="D667" t="s">
        <v>66</v>
      </c>
      <c r="E667" t="s">
        <v>8</v>
      </c>
      <c r="F667" t="s">
        <v>9</v>
      </c>
      <c r="G667" t="s">
        <v>10</v>
      </c>
      <c r="H667" t="s">
        <v>67</v>
      </c>
      <c r="I667" t="s">
        <v>929</v>
      </c>
      <c r="J667" t="s">
        <v>35</v>
      </c>
      <c r="K667" t="s">
        <v>241</v>
      </c>
      <c r="L667" t="s">
        <v>70</v>
      </c>
      <c r="N667">
        <f t="shared" si="50"/>
        <v>17</v>
      </c>
      <c r="O667">
        <f t="shared" si="51"/>
        <v>4</v>
      </c>
      <c r="P667" t="str">
        <f t="shared" si="52"/>
        <v>Observed Better</v>
      </c>
      <c r="Q667" t="str">
        <f t="shared" si="53"/>
        <v>April</v>
      </c>
      <c r="R667" t="str">
        <f t="shared" si="54"/>
        <v>Week 17</v>
      </c>
    </row>
    <row r="668" spans="1:18" x14ac:dyDescent="0.2">
      <c r="A668" s="11">
        <v>243940</v>
      </c>
      <c r="B668" s="2">
        <v>45408</v>
      </c>
      <c r="C668" t="s">
        <v>65</v>
      </c>
      <c r="D668" t="s">
        <v>66</v>
      </c>
      <c r="E668" t="s">
        <v>8</v>
      </c>
      <c r="F668" t="s">
        <v>9</v>
      </c>
      <c r="G668" t="s">
        <v>10</v>
      </c>
      <c r="H668" t="s">
        <v>67</v>
      </c>
      <c r="I668" t="s">
        <v>930</v>
      </c>
      <c r="J668" t="s">
        <v>580</v>
      </c>
      <c r="K668" t="s">
        <v>581</v>
      </c>
      <c r="L668" t="s">
        <v>77</v>
      </c>
      <c r="N668">
        <f t="shared" si="50"/>
        <v>17</v>
      </c>
      <c r="O668">
        <f t="shared" si="51"/>
        <v>4</v>
      </c>
      <c r="P668" t="str">
        <f t="shared" si="52"/>
        <v>Provided Guidance</v>
      </c>
      <c r="Q668" t="str">
        <f t="shared" si="53"/>
        <v>April</v>
      </c>
      <c r="R668" t="str">
        <f t="shared" si="54"/>
        <v>Week 17</v>
      </c>
    </row>
    <row r="669" spans="1:18" x14ac:dyDescent="0.2">
      <c r="A669" s="11">
        <v>243941</v>
      </c>
      <c r="B669" s="2">
        <v>45408</v>
      </c>
      <c r="C669" t="s">
        <v>65</v>
      </c>
      <c r="D669" t="s">
        <v>66</v>
      </c>
      <c r="E669" t="s">
        <v>8</v>
      </c>
      <c r="F669" t="s">
        <v>9</v>
      </c>
      <c r="G669" t="s">
        <v>203</v>
      </c>
      <c r="H669" t="s">
        <v>67</v>
      </c>
      <c r="I669" t="s">
        <v>931</v>
      </c>
      <c r="J669" t="s">
        <v>35</v>
      </c>
      <c r="K669" t="s">
        <v>241</v>
      </c>
      <c r="L669" t="s">
        <v>70</v>
      </c>
      <c r="N669">
        <f t="shared" si="50"/>
        <v>17</v>
      </c>
      <c r="O669">
        <f t="shared" si="51"/>
        <v>4</v>
      </c>
      <c r="P669" t="str">
        <f t="shared" si="52"/>
        <v>Observed Better</v>
      </c>
      <c r="Q669" t="str">
        <f t="shared" si="53"/>
        <v>April</v>
      </c>
      <c r="R669" t="str">
        <f t="shared" si="54"/>
        <v>Week 17</v>
      </c>
    </row>
    <row r="670" spans="1:18" x14ac:dyDescent="0.2">
      <c r="A670" s="11">
        <v>243942</v>
      </c>
      <c r="B670" s="2">
        <v>45408</v>
      </c>
      <c r="C670" t="s">
        <v>65</v>
      </c>
      <c r="D670" t="s">
        <v>66</v>
      </c>
      <c r="E670" t="s">
        <v>20</v>
      </c>
      <c r="F670" t="s">
        <v>21</v>
      </c>
      <c r="G670" t="s">
        <v>22</v>
      </c>
      <c r="H670" t="s">
        <v>67</v>
      </c>
      <c r="I670" t="s">
        <v>932</v>
      </c>
      <c r="J670" t="s">
        <v>35</v>
      </c>
      <c r="K670" t="s">
        <v>241</v>
      </c>
      <c r="L670" t="s">
        <v>70</v>
      </c>
      <c r="N670">
        <f t="shared" si="50"/>
        <v>17</v>
      </c>
      <c r="O670">
        <f t="shared" si="51"/>
        <v>4</v>
      </c>
      <c r="P670" t="str">
        <f t="shared" si="52"/>
        <v>Observed Better</v>
      </c>
      <c r="Q670" t="str">
        <f t="shared" si="53"/>
        <v>April</v>
      </c>
      <c r="R670" t="str">
        <f t="shared" si="54"/>
        <v>Week 17</v>
      </c>
    </row>
    <row r="671" spans="1:18" x14ac:dyDescent="0.2">
      <c r="A671" s="11">
        <v>243943</v>
      </c>
      <c r="B671" s="2">
        <v>45408</v>
      </c>
      <c r="C671" t="s">
        <v>65</v>
      </c>
      <c r="D671" t="s">
        <v>66</v>
      </c>
      <c r="E671" t="s">
        <v>11</v>
      </c>
      <c r="F671" t="s">
        <v>220</v>
      </c>
      <c r="H671" t="s">
        <v>67</v>
      </c>
      <c r="I671" t="s">
        <v>933</v>
      </c>
      <c r="J671" t="s">
        <v>580</v>
      </c>
      <c r="K671" t="s">
        <v>581</v>
      </c>
      <c r="L671" t="s">
        <v>70</v>
      </c>
      <c r="N671">
        <f t="shared" si="50"/>
        <v>17</v>
      </c>
      <c r="O671">
        <f t="shared" si="51"/>
        <v>4</v>
      </c>
      <c r="P671" t="str">
        <f t="shared" si="52"/>
        <v>Observed Better</v>
      </c>
      <c r="Q671" t="str">
        <f t="shared" si="53"/>
        <v>April</v>
      </c>
      <c r="R671" t="str">
        <f t="shared" si="54"/>
        <v>Week 17</v>
      </c>
    </row>
    <row r="672" spans="1:18" x14ac:dyDescent="0.2">
      <c r="A672" s="11">
        <v>243944</v>
      </c>
      <c r="B672" s="2">
        <v>45408</v>
      </c>
      <c r="C672" t="s">
        <v>65</v>
      </c>
      <c r="D672" t="s">
        <v>66</v>
      </c>
      <c r="E672" t="s">
        <v>11</v>
      </c>
      <c r="F672" t="s">
        <v>220</v>
      </c>
      <c r="H672" t="s">
        <v>67</v>
      </c>
      <c r="I672" t="s">
        <v>934</v>
      </c>
      <c r="J672" t="s">
        <v>892</v>
      </c>
      <c r="K672" t="s">
        <v>893</v>
      </c>
      <c r="L672" t="s">
        <v>70</v>
      </c>
      <c r="M672" t="s">
        <v>935</v>
      </c>
      <c r="N672">
        <f t="shared" si="50"/>
        <v>17</v>
      </c>
      <c r="O672">
        <f t="shared" si="51"/>
        <v>4</v>
      </c>
      <c r="P672" t="str">
        <f t="shared" si="52"/>
        <v>Observed Better</v>
      </c>
      <c r="Q672" t="str">
        <f t="shared" si="53"/>
        <v>April</v>
      </c>
      <c r="R672" t="str">
        <f t="shared" si="54"/>
        <v>Week 17</v>
      </c>
    </row>
    <row r="673" spans="1:18" x14ac:dyDescent="0.2">
      <c r="A673" s="11">
        <v>243945</v>
      </c>
      <c r="B673" s="2">
        <v>45408</v>
      </c>
      <c r="C673" t="s">
        <v>65</v>
      </c>
      <c r="D673" t="s">
        <v>66</v>
      </c>
      <c r="E673" t="s">
        <v>11</v>
      </c>
      <c r="F673" t="s">
        <v>220</v>
      </c>
      <c r="H673" t="s">
        <v>67</v>
      </c>
      <c r="I673" t="s">
        <v>934</v>
      </c>
      <c r="J673" t="s">
        <v>892</v>
      </c>
      <c r="K673" t="s">
        <v>893</v>
      </c>
      <c r="L673" t="s">
        <v>70</v>
      </c>
      <c r="M673" t="s">
        <v>935</v>
      </c>
      <c r="N673">
        <f t="shared" si="50"/>
        <v>17</v>
      </c>
      <c r="O673">
        <f t="shared" si="51"/>
        <v>4</v>
      </c>
      <c r="P673" t="str">
        <f t="shared" si="52"/>
        <v>Observed Better</v>
      </c>
      <c r="Q673" t="str">
        <f t="shared" si="53"/>
        <v>April</v>
      </c>
      <c r="R673" t="str">
        <f t="shared" si="54"/>
        <v>Week 17</v>
      </c>
    </row>
    <row r="674" spans="1:18" x14ac:dyDescent="0.2">
      <c r="A674" s="11">
        <v>243946</v>
      </c>
      <c r="B674" s="2">
        <v>45408</v>
      </c>
      <c r="C674" t="s">
        <v>65</v>
      </c>
      <c r="D674" t="s">
        <v>66</v>
      </c>
      <c r="E674" t="s">
        <v>11</v>
      </c>
      <c r="F674" t="s">
        <v>220</v>
      </c>
      <c r="H674" t="s">
        <v>67</v>
      </c>
      <c r="I674" t="s">
        <v>936</v>
      </c>
      <c r="J674" t="s">
        <v>892</v>
      </c>
      <c r="K674" t="s">
        <v>893</v>
      </c>
      <c r="L674" t="s">
        <v>70</v>
      </c>
      <c r="M674" t="s">
        <v>937</v>
      </c>
      <c r="N674">
        <f t="shared" si="50"/>
        <v>17</v>
      </c>
      <c r="O674">
        <f t="shared" si="51"/>
        <v>4</v>
      </c>
      <c r="P674" t="str">
        <f t="shared" si="52"/>
        <v>Observed Better</v>
      </c>
      <c r="Q674" t="str">
        <f t="shared" si="53"/>
        <v>April</v>
      </c>
      <c r="R674" t="str">
        <f t="shared" si="54"/>
        <v>Week 17</v>
      </c>
    </row>
    <row r="675" spans="1:18" x14ac:dyDescent="0.2">
      <c r="A675" s="11">
        <v>243947</v>
      </c>
      <c r="B675" s="2">
        <v>45408</v>
      </c>
      <c r="C675" t="s">
        <v>65</v>
      </c>
      <c r="D675" t="s">
        <v>66</v>
      </c>
      <c r="E675" t="s">
        <v>11</v>
      </c>
      <c r="F675" t="s">
        <v>220</v>
      </c>
      <c r="H675" t="s">
        <v>67</v>
      </c>
      <c r="I675" t="s">
        <v>936</v>
      </c>
      <c r="J675" t="s">
        <v>892</v>
      </c>
      <c r="K675" t="s">
        <v>893</v>
      </c>
      <c r="L675" t="s">
        <v>70</v>
      </c>
      <c r="M675" t="s">
        <v>937</v>
      </c>
      <c r="N675">
        <f t="shared" si="50"/>
        <v>17</v>
      </c>
      <c r="O675">
        <f t="shared" si="51"/>
        <v>4</v>
      </c>
      <c r="P675" t="str">
        <f t="shared" si="52"/>
        <v>Observed Better</v>
      </c>
      <c r="Q675" t="str">
        <f t="shared" si="53"/>
        <v>April</v>
      </c>
      <c r="R675" t="str">
        <f t="shared" si="54"/>
        <v>Week 17</v>
      </c>
    </row>
    <row r="676" spans="1:18" x14ac:dyDescent="0.2">
      <c r="A676" s="11">
        <v>243948</v>
      </c>
      <c r="B676" s="2">
        <v>45408</v>
      </c>
      <c r="C676" t="s">
        <v>65</v>
      </c>
      <c r="D676" t="s">
        <v>66</v>
      </c>
      <c r="E676" t="s">
        <v>11</v>
      </c>
      <c r="F676" t="s">
        <v>220</v>
      </c>
      <c r="H676" t="s">
        <v>67</v>
      </c>
      <c r="I676" t="s">
        <v>938</v>
      </c>
      <c r="J676" t="s">
        <v>892</v>
      </c>
      <c r="K676" t="s">
        <v>893</v>
      </c>
      <c r="L676" t="s">
        <v>70</v>
      </c>
      <c r="M676" t="s">
        <v>939</v>
      </c>
      <c r="N676">
        <f t="shared" si="50"/>
        <v>17</v>
      </c>
      <c r="O676">
        <f t="shared" si="51"/>
        <v>4</v>
      </c>
      <c r="P676" t="str">
        <f t="shared" si="52"/>
        <v>Observed Better</v>
      </c>
      <c r="Q676" t="str">
        <f t="shared" si="53"/>
        <v>April</v>
      </c>
      <c r="R676" t="str">
        <f t="shared" si="54"/>
        <v>Week 17</v>
      </c>
    </row>
    <row r="677" spans="1:18" x14ac:dyDescent="0.2">
      <c r="A677" s="11">
        <v>243949</v>
      </c>
      <c r="B677" s="2">
        <v>45408</v>
      </c>
      <c r="C677" t="s">
        <v>65</v>
      </c>
      <c r="D677" t="s">
        <v>66</v>
      </c>
      <c r="E677" t="s">
        <v>11</v>
      </c>
      <c r="F677" t="s">
        <v>220</v>
      </c>
      <c r="H677" t="s">
        <v>67</v>
      </c>
      <c r="I677" t="s">
        <v>938</v>
      </c>
      <c r="J677" t="s">
        <v>892</v>
      </c>
      <c r="K677" t="s">
        <v>893</v>
      </c>
      <c r="L677" t="s">
        <v>70</v>
      </c>
      <c r="M677" t="s">
        <v>939</v>
      </c>
      <c r="N677">
        <f t="shared" si="50"/>
        <v>17</v>
      </c>
      <c r="O677">
        <f t="shared" si="51"/>
        <v>4</v>
      </c>
      <c r="P677" t="str">
        <f t="shared" si="52"/>
        <v>Observed Better</v>
      </c>
      <c r="Q677" t="str">
        <f t="shared" si="53"/>
        <v>April</v>
      </c>
      <c r="R677" t="str">
        <f t="shared" si="54"/>
        <v>Week 17</v>
      </c>
    </row>
    <row r="678" spans="1:18" x14ac:dyDescent="0.2">
      <c r="A678" s="11">
        <v>243950</v>
      </c>
      <c r="B678" s="2">
        <v>45408</v>
      </c>
      <c r="C678" t="s">
        <v>65</v>
      </c>
      <c r="D678" t="s">
        <v>66</v>
      </c>
      <c r="E678" t="s">
        <v>11</v>
      </c>
      <c r="F678" t="s">
        <v>220</v>
      </c>
      <c r="H678" t="s">
        <v>67</v>
      </c>
      <c r="I678" t="s">
        <v>940</v>
      </c>
      <c r="J678" t="s">
        <v>892</v>
      </c>
      <c r="K678" t="s">
        <v>893</v>
      </c>
      <c r="L678" t="s">
        <v>70</v>
      </c>
      <c r="M678" t="s">
        <v>941</v>
      </c>
      <c r="N678">
        <f t="shared" si="50"/>
        <v>17</v>
      </c>
      <c r="O678">
        <f t="shared" si="51"/>
        <v>4</v>
      </c>
      <c r="P678" t="str">
        <f t="shared" si="52"/>
        <v>Observed Better</v>
      </c>
      <c r="Q678" t="str">
        <f t="shared" si="53"/>
        <v>April</v>
      </c>
      <c r="R678" t="str">
        <f t="shared" si="54"/>
        <v>Week 17</v>
      </c>
    </row>
    <row r="679" spans="1:18" x14ac:dyDescent="0.2">
      <c r="A679" s="11">
        <v>243951</v>
      </c>
      <c r="B679" s="2">
        <v>45408</v>
      </c>
      <c r="C679" t="s">
        <v>65</v>
      </c>
      <c r="D679" t="s">
        <v>66</v>
      </c>
      <c r="E679" t="s">
        <v>11</v>
      </c>
      <c r="F679" t="s">
        <v>220</v>
      </c>
      <c r="H679" t="s">
        <v>67</v>
      </c>
      <c r="I679" t="s">
        <v>940</v>
      </c>
      <c r="J679" t="s">
        <v>892</v>
      </c>
      <c r="K679" t="s">
        <v>893</v>
      </c>
      <c r="L679" t="s">
        <v>70</v>
      </c>
      <c r="M679" t="s">
        <v>941</v>
      </c>
      <c r="N679">
        <f t="shared" si="50"/>
        <v>17</v>
      </c>
      <c r="O679">
        <f t="shared" si="51"/>
        <v>4</v>
      </c>
      <c r="P679" t="str">
        <f t="shared" si="52"/>
        <v>Observed Better</v>
      </c>
      <c r="Q679" t="str">
        <f t="shared" si="53"/>
        <v>April</v>
      </c>
      <c r="R679" t="str">
        <f t="shared" si="54"/>
        <v>Week 17</v>
      </c>
    </row>
    <row r="680" spans="1:18" x14ac:dyDescent="0.2">
      <c r="A680" s="11">
        <v>243952</v>
      </c>
      <c r="B680" s="2">
        <v>45408</v>
      </c>
      <c r="C680" t="s">
        <v>65</v>
      </c>
      <c r="D680" t="s">
        <v>66</v>
      </c>
      <c r="E680" t="s">
        <v>11</v>
      </c>
      <c r="F680" t="s">
        <v>220</v>
      </c>
      <c r="H680" t="s">
        <v>67</v>
      </c>
      <c r="I680" t="s">
        <v>942</v>
      </c>
      <c r="J680" t="s">
        <v>892</v>
      </c>
      <c r="K680" t="s">
        <v>893</v>
      </c>
      <c r="L680" t="s">
        <v>70</v>
      </c>
      <c r="M680" t="s">
        <v>943</v>
      </c>
      <c r="N680">
        <f t="shared" si="50"/>
        <v>17</v>
      </c>
      <c r="O680">
        <f t="shared" si="51"/>
        <v>4</v>
      </c>
      <c r="P680" t="str">
        <f t="shared" si="52"/>
        <v>Observed Better</v>
      </c>
      <c r="Q680" t="str">
        <f t="shared" si="53"/>
        <v>April</v>
      </c>
      <c r="R680" t="str">
        <f t="shared" si="54"/>
        <v>Week 17</v>
      </c>
    </row>
    <row r="681" spans="1:18" x14ac:dyDescent="0.2">
      <c r="A681" s="11">
        <v>243953</v>
      </c>
      <c r="B681" s="2">
        <v>45408</v>
      </c>
      <c r="C681" t="s">
        <v>65</v>
      </c>
      <c r="D681" t="s">
        <v>66</v>
      </c>
      <c r="E681" t="s">
        <v>11</v>
      </c>
      <c r="F681" t="s">
        <v>220</v>
      </c>
      <c r="H681" t="s">
        <v>67</v>
      </c>
      <c r="I681" t="s">
        <v>942</v>
      </c>
      <c r="J681" t="s">
        <v>892</v>
      </c>
      <c r="K681" t="s">
        <v>893</v>
      </c>
      <c r="L681" t="s">
        <v>70</v>
      </c>
      <c r="M681" t="s">
        <v>943</v>
      </c>
      <c r="N681">
        <f t="shared" si="50"/>
        <v>17</v>
      </c>
      <c r="O681">
        <f t="shared" si="51"/>
        <v>4</v>
      </c>
      <c r="P681" t="str">
        <f t="shared" si="52"/>
        <v>Observed Better</v>
      </c>
      <c r="Q681" t="str">
        <f t="shared" si="53"/>
        <v>April</v>
      </c>
      <c r="R681" t="str">
        <f t="shared" si="54"/>
        <v>Week 17</v>
      </c>
    </row>
    <row r="682" spans="1:18" x14ac:dyDescent="0.2">
      <c r="A682" s="11">
        <v>243954</v>
      </c>
      <c r="B682" s="2">
        <v>45408</v>
      </c>
      <c r="C682" t="s">
        <v>65</v>
      </c>
      <c r="D682" t="s">
        <v>66</v>
      </c>
      <c r="E682" t="s">
        <v>11</v>
      </c>
      <c r="F682" t="s">
        <v>220</v>
      </c>
      <c r="H682" t="s">
        <v>67</v>
      </c>
      <c r="I682" t="s">
        <v>944</v>
      </c>
      <c r="J682" t="s">
        <v>892</v>
      </c>
      <c r="K682" t="s">
        <v>893</v>
      </c>
      <c r="L682" t="s">
        <v>70</v>
      </c>
      <c r="M682" t="s">
        <v>945</v>
      </c>
      <c r="N682">
        <f t="shared" si="50"/>
        <v>17</v>
      </c>
      <c r="O682">
        <f t="shared" si="51"/>
        <v>4</v>
      </c>
      <c r="P682" t="str">
        <f t="shared" si="52"/>
        <v>Observed Better</v>
      </c>
      <c r="Q682" t="str">
        <f t="shared" si="53"/>
        <v>April</v>
      </c>
      <c r="R682" t="str">
        <f t="shared" si="54"/>
        <v>Week 17</v>
      </c>
    </row>
    <row r="683" spans="1:18" x14ac:dyDescent="0.2">
      <c r="A683" s="11">
        <v>243955</v>
      </c>
      <c r="B683" s="2">
        <v>45408</v>
      </c>
      <c r="C683" t="s">
        <v>65</v>
      </c>
      <c r="D683" t="s">
        <v>66</v>
      </c>
      <c r="E683" t="s">
        <v>11</v>
      </c>
      <c r="F683" t="s">
        <v>220</v>
      </c>
      <c r="H683" t="s">
        <v>67</v>
      </c>
      <c r="I683" t="s">
        <v>944</v>
      </c>
      <c r="J683" t="s">
        <v>892</v>
      </c>
      <c r="K683" t="s">
        <v>893</v>
      </c>
      <c r="L683" t="s">
        <v>70</v>
      </c>
      <c r="M683" t="s">
        <v>945</v>
      </c>
      <c r="N683">
        <f t="shared" si="50"/>
        <v>17</v>
      </c>
      <c r="O683">
        <f t="shared" si="51"/>
        <v>4</v>
      </c>
      <c r="P683" t="str">
        <f t="shared" si="52"/>
        <v>Observed Better</v>
      </c>
      <c r="Q683" t="str">
        <f t="shared" si="53"/>
        <v>April</v>
      </c>
      <c r="R683" t="str">
        <f t="shared" si="54"/>
        <v>Week 17</v>
      </c>
    </row>
    <row r="684" spans="1:18" x14ac:dyDescent="0.2">
      <c r="A684" s="11">
        <v>243956</v>
      </c>
      <c r="B684" s="2">
        <v>45408</v>
      </c>
      <c r="C684" t="s">
        <v>65</v>
      </c>
      <c r="D684" t="s">
        <v>66</v>
      </c>
      <c r="E684" t="s">
        <v>11</v>
      </c>
      <c r="F684" t="s">
        <v>12</v>
      </c>
      <c r="G684" t="s">
        <v>15</v>
      </c>
      <c r="H684" t="s">
        <v>67</v>
      </c>
      <c r="I684" t="s">
        <v>946</v>
      </c>
      <c r="J684" t="s">
        <v>772</v>
      </c>
      <c r="K684" t="s">
        <v>773</v>
      </c>
      <c r="L684" t="s">
        <v>70</v>
      </c>
      <c r="N684">
        <f t="shared" si="50"/>
        <v>17</v>
      </c>
      <c r="O684">
        <f t="shared" si="51"/>
        <v>4</v>
      </c>
      <c r="P684" t="str">
        <f t="shared" si="52"/>
        <v>Observed Better</v>
      </c>
      <c r="Q684" t="str">
        <f t="shared" si="53"/>
        <v>April</v>
      </c>
      <c r="R684" t="str">
        <f t="shared" si="54"/>
        <v>Week 17</v>
      </c>
    </row>
    <row r="685" spans="1:18" x14ac:dyDescent="0.2">
      <c r="A685" s="11">
        <v>243957</v>
      </c>
      <c r="B685" s="2">
        <v>45408</v>
      </c>
      <c r="C685" t="s">
        <v>65</v>
      </c>
      <c r="D685" t="s">
        <v>66</v>
      </c>
      <c r="E685" t="s">
        <v>16</v>
      </c>
      <c r="F685" t="s">
        <v>71</v>
      </c>
      <c r="H685" t="s">
        <v>67</v>
      </c>
      <c r="I685" t="s">
        <v>947</v>
      </c>
      <c r="J685" t="s">
        <v>772</v>
      </c>
      <c r="K685" t="s">
        <v>773</v>
      </c>
      <c r="L685" t="s">
        <v>70</v>
      </c>
      <c r="N685">
        <f t="shared" si="50"/>
        <v>17</v>
      </c>
      <c r="O685">
        <f t="shared" si="51"/>
        <v>4</v>
      </c>
      <c r="P685" t="str">
        <f t="shared" si="52"/>
        <v>Observed Better</v>
      </c>
      <c r="Q685" t="str">
        <f t="shared" si="53"/>
        <v>April</v>
      </c>
      <c r="R685" t="str">
        <f t="shared" si="54"/>
        <v>Week 17</v>
      </c>
    </row>
    <row r="686" spans="1:18" x14ac:dyDescent="0.2">
      <c r="A686" s="11">
        <v>243958</v>
      </c>
      <c r="B686" s="2">
        <v>45408</v>
      </c>
      <c r="C686" t="s">
        <v>65</v>
      </c>
      <c r="D686" t="s">
        <v>66</v>
      </c>
      <c r="E686" t="s">
        <v>8</v>
      </c>
      <c r="F686" t="s">
        <v>9</v>
      </c>
      <c r="G686" t="s">
        <v>203</v>
      </c>
      <c r="H686" t="s">
        <v>67</v>
      </c>
      <c r="I686" t="s">
        <v>948</v>
      </c>
      <c r="J686" t="s">
        <v>125</v>
      </c>
      <c r="K686" t="s">
        <v>126</v>
      </c>
      <c r="L686" t="s">
        <v>70</v>
      </c>
      <c r="N686">
        <f t="shared" si="50"/>
        <v>17</v>
      </c>
      <c r="O686">
        <f t="shared" si="51"/>
        <v>4</v>
      </c>
      <c r="P686" t="str">
        <f t="shared" si="52"/>
        <v>Observed Better</v>
      </c>
      <c r="Q686" t="str">
        <f t="shared" si="53"/>
        <v>April</v>
      </c>
      <c r="R686" t="str">
        <f t="shared" si="54"/>
        <v>Week 17</v>
      </c>
    </row>
    <row r="687" spans="1:18" x14ac:dyDescent="0.2">
      <c r="A687" s="11">
        <v>243959</v>
      </c>
      <c r="B687" s="2">
        <v>45408</v>
      </c>
      <c r="C687" t="s">
        <v>65</v>
      </c>
      <c r="D687" t="s">
        <v>66</v>
      </c>
      <c r="E687" t="s">
        <v>20</v>
      </c>
      <c r="F687" t="s">
        <v>235</v>
      </c>
      <c r="H687" t="s">
        <v>67</v>
      </c>
      <c r="I687" t="s">
        <v>949</v>
      </c>
      <c r="J687" t="s">
        <v>39</v>
      </c>
      <c r="K687" t="s">
        <v>244</v>
      </c>
      <c r="L687" t="s">
        <v>77</v>
      </c>
      <c r="N687">
        <f t="shared" si="50"/>
        <v>17</v>
      </c>
      <c r="O687">
        <f t="shared" si="51"/>
        <v>4</v>
      </c>
      <c r="P687" t="str">
        <f t="shared" si="52"/>
        <v>Provided Guidance</v>
      </c>
      <c r="Q687" t="str">
        <f t="shared" si="53"/>
        <v>April</v>
      </c>
      <c r="R687" t="str">
        <f t="shared" si="54"/>
        <v>Week 17</v>
      </c>
    </row>
    <row r="688" spans="1:18" x14ac:dyDescent="0.2">
      <c r="A688" s="11">
        <v>243960</v>
      </c>
      <c r="B688" s="2">
        <v>45408</v>
      </c>
      <c r="C688" t="s">
        <v>65</v>
      </c>
      <c r="D688" t="s">
        <v>66</v>
      </c>
      <c r="E688" t="s">
        <v>11</v>
      </c>
      <c r="F688" t="s">
        <v>131</v>
      </c>
      <c r="G688" t="s">
        <v>11</v>
      </c>
      <c r="H688" t="s">
        <v>67</v>
      </c>
      <c r="I688" t="s">
        <v>950</v>
      </c>
      <c r="J688" t="s">
        <v>39</v>
      </c>
      <c r="K688" t="s">
        <v>244</v>
      </c>
      <c r="L688" t="s">
        <v>70</v>
      </c>
      <c r="N688">
        <f t="shared" si="50"/>
        <v>17</v>
      </c>
      <c r="O688">
        <f t="shared" si="51"/>
        <v>4</v>
      </c>
      <c r="P688" t="str">
        <f t="shared" si="52"/>
        <v>Observed Better</v>
      </c>
      <c r="Q688" t="str">
        <f t="shared" si="53"/>
        <v>April</v>
      </c>
      <c r="R688" t="str">
        <f t="shared" si="54"/>
        <v>Week 17</v>
      </c>
    </row>
    <row r="689" spans="1:18" x14ac:dyDescent="0.2">
      <c r="A689" s="11">
        <v>243961</v>
      </c>
      <c r="B689" s="2">
        <v>45408</v>
      </c>
      <c r="C689" t="s">
        <v>65</v>
      </c>
      <c r="D689" t="s">
        <v>66</v>
      </c>
      <c r="E689" t="s">
        <v>16</v>
      </c>
      <c r="F689" t="s">
        <v>162</v>
      </c>
      <c r="H689" t="s">
        <v>67</v>
      </c>
      <c r="I689" t="s">
        <v>951</v>
      </c>
      <c r="J689" t="s">
        <v>125</v>
      </c>
      <c r="K689" t="s">
        <v>126</v>
      </c>
      <c r="L689" t="s">
        <v>70</v>
      </c>
      <c r="N689">
        <f t="shared" si="50"/>
        <v>17</v>
      </c>
      <c r="O689">
        <f t="shared" si="51"/>
        <v>4</v>
      </c>
      <c r="P689" t="str">
        <f t="shared" si="52"/>
        <v>Observed Better</v>
      </c>
      <c r="Q689" t="str">
        <f t="shared" si="53"/>
        <v>April</v>
      </c>
      <c r="R689" t="str">
        <f t="shared" si="54"/>
        <v>Week 17</v>
      </c>
    </row>
    <row r="690" spans="1:18" x14ac:dyDescent="0.2">
      <c r="A690" s="11">
        <v>243962</v>
      </c>
      <c r="B690" s="2">
        <v>45408</v>
      </c>
      <c r="C690" t="s">
        <v>65</v>
      </c>
      <c r="D690" t="s">
        <v>66</v>
      </c>
      <c r="E690" t="s">
        <v>11</v>
      </c>
      <c r="F690" t="s">
        <v>134</v>
      </c>
      <c r="G690" t="s">
        <v>370</v>
      </c>
      <c r="H690" t="s">
        <v>67</v>
      </c>
      <c r="I690" t="s">
        <v>952</v>
      </c>
      <c r="J690" t="s">
        <v>125</v>
      </c>
      <c r="K690" t="s">
        <v>126</v>
      </c>
      <c r="L690" t="s">
        <v>70</v>
      </c>
      <c r="N690">
        <f t="shared" si="50"/>
        <v>17</v>
      </c>
      <c r="O690">
        <f t="shared" si="51"/>
        <v>4</v>
      </c>
      <c r="P690" t="str">
        <f t="shared" si="52"/>
        <v>Observed Better</v>
      </c>
      <c r="Q690" t="str">
        <f t="shared" si="53"/>
        <v>April</v>
      </c>
      <c r="R690" t="str">
        <f t="shared" si="54"/>
        <v>Week 17</v>
      </c>
    </row>
    <row r="691" spans="1:18" x14ac:dyDescent="0.2">
      <c r="A691" s="11">
        <v>243965</v>
      </c>
      <c r="B691" s="2">
        <v>45408</v>
      </c>
      <c r="C691" t="s">
        <v>65</v>
      </c>
      <c r="D691" t="s">
        <v>66</v>
      </c>
      <c r="E691" t="s">
        <v>8</v>
      </c>
      <c r="F691" t="s">
        <v>9</v>
      </c>
      <c r="G691" t="s">
        <v>528</v>
      </c>
      <c r="H691" t="s">
        <v>67</v>
      </c>
      <c r="I691" t="s">
        <v>953</v>
      </c>
      <c r="J691" t="s">
        <v>455</v>
      </c>
      <c r="K691" t="s">
        <v>456</v>
      </c>
      <c r="L691" t="s">
        <v>77</v>
      </c>
      <c r="M691" t="s">
        <v>954</v>
      </c>
      <c r="N691">
        <f t="shared" si="50"/>
        <v>17</v>
      </c>
      <c r="O691">
        <f t="shared" si="51"/>
        <v>4</v>
      </c>
      <c r="P691" t="str">
        <f t="shared" si="52"/>
        <v>Provided Guidance</v>
      </c>
      <c r="Q691" t="str">
        <f t="shared" si="53"/>
        <v>April</v>
      </c>
      <c r="R691" t="str">
        <f t="shared" si="54"/>
        <v>Week 17</v>
      </c>
    </row>
    <row r="692" spans="1:18" x14ac:dyDescent="0.2">
      <c r="A692" s="11">
        <v>243966</v>
      </c>
      <c r="B692" s="2">
        <v>45408</v>
      </c>
      <c r="C692" t="s">
        <v>65</v>
      </c>
      <c r="D692" t="s">
        <v>66</v>
      </c>
      <c r="E692" t="s">
        <v>11</v>
      </c>
      <c r="F692" t="s">
        <v>12</v>
      </c>
      <c r="G692" t="s">
        <v>15</v>
      </c>
      <c r="H692" t="s">
        <v>67</v>
      </c>
      <c r="I692" t="s">
        <v>955</v>
      </c>
      <c r="J692" t="s">
        <v>455</v>
      </c>
      <c r="K692" t="s">
        <v>456</v>
      </c>
      <c r="L692" t="s">
        <v>70</v>
      </c>
      <c r="N692">
        <f t="shared" si="50"/>
        <v>17</v>
      </c>
      <c r="O692">
        <f t="shared" si="51"/>
        <v>4</v>
      </c>
      <c r="P692" t="str">
        <f t="shared" si="52"/>
        <v>Observed Better</v>
      </c>
      <c r="Q692" t="str">
        <f t="shared" si="53"/>
        <v>April</v>
      </c>
      <c r="R692" t="str">
        <f t="shared" si="54"/>
        <v>Week 17</v>
      </c>
    </row>
    <row r="693" spans="1:18" x14ac:dyDescent="0.2">
      <c r="A693" s="11">
        <v>243967</v>
      </c>
      <c r="B693" s="2">
        <v>45408</v>
      </c>
      <c r="C693" t="s">
        <v>65</v>
      </c>
      <c r="D693" t="s">
        <v>66</v>
      </c>
      <c r="E693" t="s">
        <v>8</v>
      </c>
      <c r="F693" t="s">
        <v>9</v>
      </c>
      <c r="G693" t="s">
        <v>10</v>
      </c>
      <c r="H693" t="s">
        <v>67</v>
      </c>
      <c r="I693" t="s">
        <v>956</v>
      </c>
      <c r="J693" t="s">
        <v>251</v>
      </c>
      <c r="K693" t="s">
        <v>252</v>
      </c>
      <c r="L693" t="s">
        <v>77</v>
      </c>
      <c r="N693">
        <f t="shared" si="50"/>
        <v>17</v>
      </c>
      <c r="O693">
        <f t="shared" si="51"/>
        <v>4</v>
      </c>
      <c r="P693" t="str">
        <f t="shared" si="52"/>
        <v>Provided Guidance</v>
      </c>
      <c r="Q693" t="str">
        <f t="shared" si="53"/>
        <v>April</v>
      </c>
      <c r="R693" t="str">
        <f t="shared" si="54"/>
        <v>Week 17</v>
      </c>
    </row>
    <row r="694" spans="1:18" x14ac:dyDescent="0.2">
      <c r="A694" s="11">
        <v>243968</v>
      </c>
      <c r="B694" s="2">
        <v>45408</v>
      </c>
      <c r="C694" t="s">
        <v>65</v>
      </c>
      <c r="D694" t="s">
        <v>66</v>
      </c>
      <c r="E694" t="s">
        <v>8</v>
      </c>
      <c r="F694" t="s">
        <v>9</v>
      </c>
      <c r="G694" t="s">
        <v>11</v>
      </c>
      <c r="H694" t="s">
        <v>67</v>
      </c>
      <c r="I694" t="s">
        <v>957</v>
      </c>
      <c r="J694" t="s">
        <v>110</v>
      </c>
      <c r="K694" t="s">
        <v>111</v>
      </c>
      <c r="L694" t="s">
        <v>70</v>
      </c>
      <c r="N694">
        <f t="shared" si="50"/>
        <v>17</v>
      </c>
      <c r="O694">
        <f t="shared" si="51"/>
        <v>4</v>
      </c>
      <c r="P694" t="str">
        <f t="shared" si="52"/>
        <v>Observed Better</v>
      </c>
      <c r="Q694" t="str">
        <f t="shared" si="53"/>
        <v>April</v>
      </c>
      <c r="R694" t="str">
        <f t="shared" si="54"/>
        <v>Week 17</v>
      </c>
    </row>
    <row r="695" spans="1:18" x14ac:dyDescent="0.2">
      <c r="A695" s="11">
        <v>243969</v>
      </c>
      <c r="B695" s="2">
        <v>45408</v>
      </c>
      <c r="C695" t="s">
        <v>65</v>
      </c>
      <c r="D695" t="s">
        <v>66</v>
      </c>
      <c r="E695" t="s">
        <v>8</v>
      </c>
      <c r="F695" t="s">
        <v>9</v>
      </c>
      <c r="G695" t="s">
        <v>11</v>
      </c>
      <c r="H695" t="s">
        <v>67</v>
      </c>
      <c r="I695" t="s">
        <v>958</v>
      </c>
      <c r="J695" t="s">
        <v>110</v>
      </c>
      <c r="K695" t="s">
        <v>111</v>
      </c>
      <c r="L695" t="s">
        <v>77</v>
      </c>
      <c r="N695">
        <f t="shared" si="50"/>
        <v>17</v>
      </c>
      <c r="O695">
        <f t="shared" si="51"/>
        <v>4</v>
      </c>
      <c r="P695" t="str">
        <f t="shared" si="52"/>
        <v>Provided Guidance</v>
      </c>
      <c r="Q695" t="str">
        <f t="shared" si="53"/>
        <v>April</v>
      </c>
      <c r="R695" t="str">
        <f t="shared" si="54"/>
        <v>Week 17</v>
      </c>
    </row>
    <row r="696" spans="1:18" x14ac:dyDescent="0.2">
      <c r="A696" s="11">
        <v>243970</v>
      </c>
      <c r="B696" s="2">
        <v>45408</v>
      </c>
      <c r="C696" t="s">
        <v>65</v>
      </c>
      <c r="D696" t="s">
        <v>66</v>
      </c>
      <c r="E696" t="s">
        <v>8</v>
      </c>
      <c r="F696" t="s">
        <v>9</v>
      </c>
      <c r="G696" t="s">
        <v>11</v>
      </c>
      <c r="H696" t="s">
        <v>67</v>
      </c>
      <c r="I696" t="s">
        <v>959</v>
      </c>
      <c r="J696" t="s">
        <v>110</v>
      </c>
      <c r="K696" t="s">
        <v>111</v>
      </c>
      <c r="L696" t="s">
        <v>70</v>
      </c>
      <c r="N696">
        <f t="shared" si="50"/>
        <v>17</v>
      </c>
      <c r="O696">
        <f t="shared" si="51"/>
        <v>4</v>
      </c>
      <c r="P696" t="str">
        <f t="shared" si="52"/>
        <v>Observed Better</v>
      </c>
      <c r="Q696" t="str">
        <f t="shared" si="53"/>
        <v>April</v>
      </c>
      <c r="R696" t="str">
        <f t="shared" si="54"/>
        <v>Week 17</v>
      </c>
    </row>
    <row r="697" spans="1:18" x14ac:dyDescent="0.2">
      <c r="A697" s="11">
        <v>243971</v>
      </c>
      <c r="B697" s="2">
        <v>45408</v>
      </c>
      <c r="C697" t="s">
        <v>65</v>
      </c>
      <c r="D697" t="s">
        <v>66</v>
      </c>
      <c r="E697" t="s">
        <v>8</v>
      </c>
      <c r="F697" t="s">
        <v>9</v>
      </c>
      <c r="G697" t="s">
        <v>11</v>
      </c>
      <c r="H697" t="s">
        <v>67</v>
      </c>
      <c r="I697" t="s">
        <v>960</v>
      </c>
      <c r="J697" t="s">
        <v>110</v>
      </c>
      <c r="K697" t="s">
        <v>111</v>
      </c>
      <c r="L697" t="s">
        <v>77</v>
      </c>
      <c r="N697">
        <f t="shared" si="50"/>
        <v>17</v>
      </c>
      <c r="O697">
        <f t="shared" si="51"/>
        <v>4</v>
      </c>
      <c r="P697" t="str">
        <f t="shared" si="52"/>
        <v>Provided Guidance</v>
      </c>
      <c r="Q697" t="str">
        <f t="shared" si="53"/>
        <v>April</v>
      </c>
      <c r="R697" t="str">
        <f t="shared" si="54"/>
        <v>Week 17</v>
      </c>
    </row>
    <row r="698" spans="1:18" x14ac:dyDescent="0.2">
      <c r="A698" s="11">
        <v>243972</v>
      </c>
      <c r="B698" s="2">
        <v>45408</v>
      </c>
      <c r="C698" t="s">
        <v>65</v>
      </c>
      <c r="D698" t="s">
        <v>66</v>
      </c>
      <c r="E698" t="s">
        <v>8</v>
      </c>
      <c r="F698" t="s">
        <v>427</v>
      </c>
      <c r="G698" t="s">
        <v>428</v>
      </c>
      <c r="H698" t="s">
        <v>67</v>
      </c>
      <c r="I698" t="s">
        <v>961</v>
      </c>
      <c r="J698" t="s">
        <v>34</v>
      </c>
      <c r="K698" t="s">
        <v>295</v>
      </c>
      <c r="L698" t="s">
        <v>77</v>
      </c>
      <c r="M698" t="s">
        <v>357</v>
      </c>
      <c r="N698">
        <f t="shared" si="50"/>
        <v>17</v>
      </c>
      <c r="O698">
        <f t="shared" si="51"/>
        <v>4</v>
      </c>
      <c r="P698" t="str">
        <f t="shared" si="52"/>
        <v>Provided Guidance</v>
      </c>
      <c r="Q698" t="str">
        <f t="shared" si="53"/>
        <v>April</v>
      </c>
      <c r="R698" t="str">
        <f t="shared" si="54"/>
        <v>Week 17</v>
      </c>
    </row>
    <row r="699" spans="1:18" x14ac:dyDescent="0.2">
      <c r="A699" s="11">
        <v>243973</v>
      </c>
      <c r="B699" s="2">
        <v>45408</v>
      </c>
      <c r="C699" t="s">
        <v>65</v>
      </c>
      <c r="D699" t="s">
        <v>66</v>
      </c>
      <c r="E699" t="s">
        <v>24</v>
      </c>
      <c r="F699" t="s">
        <v>25</v>
      </c>
      <c r="H699" t="s">
        <v>67</v>
      </c>
      <c r="I699" t="s">
        <v>962</v>
      </c>
      <c r="J699" t="s">
        <v>34</v>
      </c>
      <c r="K699" t="s">
        <v>295</v>
      </c>
      <c r="L699" t="s">
        <v>77</v>
      </c>
      <c r="M699" t="s">
        <v>357</v>
      </c>
      <c r="N699">
        <f t="shared" si="50"/>
        <v>17</v>
      </c>
      <c r="O699">
        <f t="shared" si="51"/>
        <v>4</v>
      </c>
      <c r="P699" t="str">
        <f t="shared" si="52"/>
        <v>Provided Guidance</v>
      </c>
      <c r="Q699" t="str">
        <f t="shared" si="53"/>
        <v>April</v>
      </c>
      <c r="R699" t="str">
        <f t="shared" si="54"/>
        <v>Week 17</v>
      </c>
    </row>
    <row r="700" spans="1:18" x14ac:dyDescent="0.2">
      <c r="A700" s="11">
        <v>243974</v>
      </c>
      <c r="B700" s="2">
        <v>45408</v>
      </c>
      <c r="C700" t="s">
        <v>65</v>
      </c>
      <c r="D700" t="s">
        <v>66</v>
      </c>
      <c r="E700" t="s">
        <v>8</v>
      </c>
      <c r="F700" t="s">
        <v>9</v>
      </c>
      <c r="G700" t="s">
        <v>528</v>
      </c>
      <c r="H700" t="s">
        <v>67</v>
      </c>
      <c r="I700" t="s">
        <v>963</v>
      </c>
      <c r="J700" t="s">
        <v>455</v>
      </c>
      <c r="K700" t="s">
        <v>456</v>
      </c>
      <c r="L700" t="s">
        <v>70</v>
      </c>
      <c r="N700">
        <f t="shared" si="50"/>
        <v>17</v>
      </c>
      <c r="O700">
        <f t="shared" si="51"/>
        <v>4</v>
      </c>
      <c r="P700" t="str">
        <f t="shared" si="52"/>
        <v>Observed Better</v>
      </c>
      <c r="Q700" t="str">
        <f t="shared" si="53"/>
        <v>April</v>
      </c>
      <c r="R700" t="str">
        <f t="shared" si="54"/>
        <v>Week 17</v>
      </c>
    </row>
    <row r="701" spans="1:18" x14ac:dyDescent="0.2">
      <c r="A701" s="11">
        <v>243975</v>
      </c>
      <c r="B701" s="2">
        <v>45408</v>
      </c>
      <c r="C701" t="s">
        <v>65</v>
      </c>
      <c r="D701" t="s">
        <v>66</v>
      </c>
      <c r="E701" t="s">
        <v>8</v>
      </c>
      <c r="F701" t="s">
        <v>9</v>
      </c>
      <c r="G701" t="s">
        <v>11</v>
      </c>
      <c r="H701" t="s">
        <v>67</v>
      </c>
      <c r="I701" t="s">
        <v>964</v>
      </c>
      <c r="J701" t="s">
        <v>759</v>
      </c>
      <c r="K701" t="s">
        <v>760</v>
      </c>
      <c r="L701" t="s">
        <v>70</v>
      </c>
      <c r="N701">
        <f t="shared" si="50"/>
        <v>17</v>
      </c>
      <c r="O701">
        <f t="shared" si="51"/>
        <v>4</v>
      </c>
      <c r="P701" t="str">
        <f t="shared" si="52"/>
        <v>Observed Better</v>
      </c>
      <c r="Q701" t="str">
        <f t="shared" si="53"/>
        <v>April</v>
      </c>
      <c r="R701" t="str">
        <f t="shared" si="54"/>
        <v>Week 17</v>
      </c>
    </row>
    <row r="702" spans="1:18" x14ac:dyDescent="0.2">
      <c r="A702" s="11">
        <v>243976</v>
      </c>
      <c r="B702" s="2">
        <v>45408</v>
      </c>
      <c r="C702" t="s">
        <v>65</v>
      </c>
      <c r="D702" t="s">
        <v>66</v>
      </c>
      <c r="E702" t="s">
        <v>8</v>
      </c>
      <c r="F702" t="s">
        <v>9</v>
      </c>
      <c r="G702" t="s">
        <v>11</v>
      </c>
      <c r="H702" t="s">
        <v>67</v>
      </c>
      <c r="I702" t="s">
        <v>965</v>
      </c>
      <c r="J702" t="s">
        <v>759</v>
      </c>
      <c r="K702" t="s">
        <v>760</v>
      </c>
      <c r="L702" t="s">
        <v>70</v>
      </c>
      <c r="N702">
        <f t="shared" si="50"/>
        <v>17</v>
      </c>
      <c r="O702">
        <f t="shared" si="51"/>
        <v>4</v>
      </c>
      <c r="P702" t="str">
        <f t="shared" si="52"/>
        <v>Observed Better</v>
      </c>
      <c r="Q702" t="str">
        <f t="shared" si="53"/>
        <v>April</v>
      </c>
      <c r="R702" t="str">
        <f t="shared" si="54"/>
        <v>Week 17</v>
      </c>
    </row>
    <row r="703" spans="1:18" x14ac:dyDescent="0.2">
      <c r="A703" s="11">
        <v>243977</v>
      </c>
      <c r="B703" s="2">
        <v>45408</v>
      </c>
      <c r="C703" t="s">
        <v>65</v>
      </c>
      <c r="D703" t="s">
        <v>66</v>
      </c>
      <c r="E703" t="s">
        <v>8</v>
      </c>
      <c r="F703" t="s">
        <v>9</v>
      </c>
      <c r="G703" t="s">
        <v>11</v>
      </c>
      <c r="H703" t="s">
        <v>67</v>
      </c>
      <c r="I703" t="s">
        <v>966</v>
      </c>
      <c r="J703" t="s">
        <v>759</v>
      </c>
      <c r="K703" t="s">
        <v>760</v>
      </c>
      <c r="L703" t="s">
        <v>77</v>
      </c>
      <c r="N703">
        <f t="shared" si="50"/>
        <v>17</v>
      </c>
      <c r="O703">
        <f t="shared" si="51"/>
        <v>4</v>
      </c>
      <c r="P703" t="str">
        <f t="shared" si="52"/>
        <v>Provided Guidance</v>
      </c>
      <c r="Q703" t="str">
        <f t="shared" si="53"/>
        <v>April</v>
      </c>
      <c r="R703" t="str">
        <f t="shared" si="54"/>
        <v>Week 17</v>
      </c>
    </row>
    <row r="704" spans="1:18" x14ac:dyDescent="0.2">
      <c r="A704" s="11">
        <v>243978</v>
      </c>
      <c r="B704" s="2">
        <v>45408</v>
      </c>
      <c r="C704" t="s">
        <v>65</v>
      </c>
      <c r="D704" t="s">
        <v>66</v>
      </c>
      <c r="E704" t="s">
        <v>8</v>
      </c>
      <c r="F704" t="s">
        <v>9</v>
      </c>
      <c r="G704" t="s">
        <v>11</v>
      </c>
      <c r="H704" t="s">
        <v>67</v>
      </c>
      <c r="I704" t="s">
        <v>967</v>
      </c>
      <c r="J704" t="s">
        <v>759</v>
      </c>
      <c r="K704" t="s">
        <v>760</v>
      </c>
      <c r="L704" t="s">
        <v>70</v>
      </c>
      <c r="N704">
        <f t="shared" si="50"/>
        <v>17</v>
      </c>
      <c r="O704">
        <f t="shared" si="51"/>
        <v>4</v>
      </c>
      <c r="P704" t="str">
        <f t="shared" si="52"/>
        <v>Observed Better</v>
      </c>
      <c r="Q704" t="str">
        <f t="shared" si="53"/>
        <v>April</v>
      </c>
      <c r="R704" t="str">
        <f t="shared" si="54"/>
        <v>Week 17</v>
      </c>
    </row>
    <row r="705" spans="1:18" x14ac:dyDescent="0.2">
      <c r="A705" s="11">
        <v>243979</v>
      </c>
      <c r="B705" s="2">
        <v>45408</v>
      </c>
      <c r="C705" t="s">
        <v>65</v>
      </c>
      <c r="D705" t="s">
        <v>66</v>
      </c>
      <c r="E705" t="s">
        <v>8</v>
      </c>
      <c r="F705" t="s">
        <v>9</v>
      </c>
      <c r="G705" t="s">
        <v>11</v>
      </c>
      <c r="H705" t="s">
        <v>67</v>
      </c>
      <c r="I705" t="s">
        <v>968</v>
      </c>
      <c r="J705" t="s">
        <v>759</v>
      </c>
      <c r="K705" t="s">
        <v>760</v>
      </c>
      <c r="L705" t="s">
        <v>77</v>
      </c>
      <c r="N705">
        <f t="shared" si="50"/>
        <v>17</v>
      </c>
      <c r="O705">
        <f t="shared" si="51"/>
        <v>4</v>
      </c>
      <c r="P705" t="str">
        <f t="shared" si="52"/>
        <v>Provided Guidance</v>
      </c>
      <c r="Q705" t="str">
        <f t="shared" si="53"/>
        <v>April</v>
      </c>
      <c r="R705" t="str">
        <f t="shared" si="54"/>
        <v>Week 17</v>
      </c>
    </row>
    <row r="706" spans="1:18" x14ac:dyDescent="0.2">
      <c r="A706" s="11">
        <v>243980</v>
      </c>
      <c r="B706" s="2">
        <v>45409</v>
      </c>
      <c r="C706" t="s">
        <v>65</v>
      </c>
      <c r="D706" t="s">
        <v>66</v>
      </c>
      <c r="E706" t="s">
        <v>16</v>
      </c>
      <c r="F706" t="s">
        <v>227</v>
      </c>
      <c r="H706" t="s">
        <v>67</v>
      </c>
      <c r="I706" t="s">
        <v>969</v>
      </c>
      <c r="J706" t="s">
        <v>115</v>
      </c>
      <c r="K706" t="s">
        <v>116</v>
      </c>
      <c r="L706" t="s">
        <v>70</v>
      </c>
      <c r="N706">
        <f t="shared" ref="N706:N769" si="55">IF(ISBLANK(B706)," ",WEEKNUM(B706))</f>
        <v>17</v>
      </c>
      <c r="O706">
        <f t="shared" ref="O706:O769" si="56">IF(ISBLANK(B706)," ",MONTH(B706))</f>
        <v>4</v>
      </c>
      <c r="P706" t="str">
        <f t="shared" ref="P706:P769" si="57">IF(ISNUMBER(SEARCH("provided",L706)),"Provided Guidance","Observed Better")</f>
        <v>Observed Better</v>
      </c>
      <c r="Q706" t="str">
        <f t="shared" ref="Q706:Q769" si="58">IF(O706=" "," ",TEXT(O706*29,"mmmm"))</f>
        <v>April</v>
      </c>
      <c r="R706" t="str">
        <f t="shared" ref="R706:R769" si="59">IF(N706=" "," ",_xlfn.CONCAT("Week ",+TEXT(N706,"0")))</f>
        <v>Week 17</v>
      </c>
    </row>
    <row r="707" spans="1:18" x14ac:dyDescent="0.2">
      <c r="A707" s="11">
        <v>243981</v>
      </c>
      <c r="B707" s="2">
        <v>45409</v>
      </c>
      <c r="C707" t="s">
        <v>65</v>
      </c>
      <c r="D707" t="s">
        <v>66</v>
      </c>
      <c r="E707" t="s">
        <v>11</v>
      </c>
      <c r="F707" t="s">
        <v>134</v>
      </c>
      <c r="G707" t="s">
        <v>135</v>
      </c>
      <c r="H707" t="s">
        <v>67</v>
      </c>
      <c r="I707" t="s">
        <v>970</v>
      </c>
      <c r="J707" t="s">
        <v>115</v>
      </c>
      <c r="K707" t="s">
        <v>116</v>
      </c>
      <c r="L707" t="s">
        <v>70</v>
      </c>
      <c r="N707">
        <f t="shared" si="55"/>
        <v>17</v>
      </c>
      <c r="O707">
        <f t="shared" si="56"/>
        <v>4</v>
      </c>
      <c r="P707" t="str">
        <f t="shared" si="57"/>
        <v>Observed Better</v>
      </c>
      <c r="Q707" t="str">
        <f t="shared" si="58"/>
        <v>April</v>
      </c>
      <c r="R707" t="str">
        <f t="shared" si="59"/>
        <v>Week 17</v>
      </c>
    </row>
    <row r="708" spans="1:18" x14ac:dyDescent="0.2">
      <c r="A708" s="11">
        <v>243982</v>
      </c>
      <c r="B708" s="2">
        <v>45409</v>
      </c>
      <c r="C708" t="s">
        <v>65</v>
      </c>
      <c r="D708" t="s">
        <v>66</v>
      </c>
      <c r="E708" t="s">
        <v>11</v>
      </c>
      <c r="F708" t="s">
        <v>134</v>
      </c>
      <c r="G708" t="s">
        <v>135</v>
      </c>
      <c r="H708" t="s">
        <v>67</v>
      </c>
      <c r="I708" t="s">
        <v>971</v>
      </c>
      <c r="J708" t="s">
        <v>115</v>
      </c>
      <c r="K708" t="s">
        <v>116</v>
      </c>
      <c r="L708" t="s">
        <v>70</v>
      </c>
      <c r="N708">
        <f t="shared" si="55"/>
        <v>17</v>
      </c>
      <c r="O708">
        <f t="shared" si="56"/>
        <v>4</v>
      </c>
      <c r="P708" t="str">
        <f t="shared" si="57"/>
        <v>Observed Better</v>
      </c>
      <c r="Q708" t="str">
        <f t="shared" si="58"/>
        <v>April</v>
      </c>
      <c r="R708" t="str">
        <f t="shared" si="59"/>
        <v>Week 17</v>
      </c>
    </row>
    <row r="709" spans="1:18" x14ac:dyDescent="0.2">
      <c r="A709" s="11">
        <v>243983</v>
      </c>
      <c r="B709" s="2">
        <v>45409</v>
      </c>
      <c r="C709" t="s">
        <v>65</v>
      </c>
      <c r="D709" t="s">
        <v>66</v>
      </c>
      <c r="E709" t="s">
        <v>16</v>
      </c>
      <c r="F709" t="s">
        <v>17</v>
      </c>
      <c r="H709" t="s">
        <v>67</v>
      </c>
      <c r="I709" t="s">
        <v>972</v>
      </c>
      <c r="J709" t="s">
        <v>115</v>
      </c>
      <c r="K709" t="s">
        <v>116</v>
      </c>
      <c r="L709" t="s">
        <v>77</v>
      </c>
      <c r="N709">
        <f t="shared" si="55"/>
        <v>17</v>
      </c>
      <c r="O709">
        <f t="shared" si="56"/>
        <v>4</v>
      </c>
      <c r="P709" t="str">
        <f t="shared" si="57"/>
        <v>Provided Guidance</v>
      </c>
      <c r="Q709" t="str">
        <f t="shared" si="58"/>
        <v>April</v>
      </c>
      <c r="R709" t="str">
        <f t="shared" si="59"/>
        <v>Week 17</v>
      </c>
    </row>
    <row r="710" spans="1:18" x14ac:dyDescent="0.2">
      <c r="A710" s="11">
        <v>243984</v>
      </c>
      <c r="B710" s="2">
        <v>45410</v>
      </c>
      <c r="C710" t="s">
        <v>65</v>
      </c>
      <c r="D710" t="s">
        <v>66</v>
      </c>
      <c r="E710" t="s">
        <v>16</v>
      </c>
      <c r="F710" t="s">
        <v>162</v>
      </c>
      <c r="H710" t="s">
        <v>67</v>
      </c>
      <c r="I710" t="s">
        <v>973</v>
      </c>
      <c r="J710" t="s">
        <v>115</v>
      </c>
      <c r="K710" t="s">
        <v>116</v>
      </c>
      <c r="L710" t="s">
        <v>70</v>
      </c>
      <c r="N710">
        <f t="shared" si="55"/>
        <v>18</v>
      </c>
      <c r="O710">
        <f t="shared" si="56"/>
        <v>4</v>
      </c>
      <c r="P710" t="str">
        <f t="shared" si="57"/>
        <v>Observed Better</v>
      </c>
      <c r="Q710" t="str">
        <f t="shared" si="58"/>
        <v>April</v>
      </c>
      <c r="R710" t="str">
        <f t="shared" si="59"/>
        <v>Week 18</v>
      </c>
    </row>
    <row r="711" spans="1:18" x14ac:dyDescent="0.2">
      <c r="A711" s="11">
        <v>243985</v>
      </c>
      <c r="B711" s="2">
        <v>45410</v>
      </c>
      <c r="C711" t="s">
        <v>65</v>
      </c>
      <c r="D711" t="s">
        <v>66</v>
      </c>
      <c r="E711" t="s">
        <v>16</v>
      </c>
      <c r="F711" t="s">
        <v>162</v>
      </c>
      <c r="H711" t="s">
        <v>67</v>
      </c>
      <c r="I711" t="s">
        <v>973</v>
      </c>
      <c r="J711" t="s">
        <v>115</v>
      </c>
      <c r="K711" t="s">
        <v>116</v>
      </c>
      <c r="L711" t="s">
        <v>70</v>
      </c>
      <c r="N711">
        <f t="shared" si="55"/>
        <v>18</v>
      </c>
      <c r="O711">
        <f t="shared" si="56"/>
        <v>4</v>
      </c>
      <c r="P711" t="str">
        <f t="shared" si="57"/>
        <v>Observed Better</v>
      </c>
      <c r="Q711" t="str">
        <f t="shared" si="58"/>
        <v>April</v>
      </c>
      <c r="R711" t="str">
        <f t="shared" si="59"/>
        <v>Week 18</v>
      </c>
    </row>
    <row r="712" spans="1:18" x14ac:dyDescent="0.2">
      <c r="A712" s="11">
        <v>243986</v>
      </c>
      <c r="B712" s="2">
        <v>45410</v>
      </c>
      <c r="C712" t="s">
        <v>65</v>
      </c>
      <c r="D712" t="s">
        <v>66</v>
      </c>
      <c r="E712" t="s">
        <v>16</v>
      </c>
      <c r="F712" t="s">
        <v>162</v>
      </c>
      <c r="H712" t="s">
        <v>67</v>
      </c>
      <c r="I712" t="s">
        <v>973</v>
      </c>
      <c r="J712" t="s">
        <v>115</v>
      </c>
      <c r="K712" t="s">
        <v>116</v>
      </c>
      <c r="L712" t="s">
        <v>70</v>
      </c>
      <c r="N712">
        <f t="shared" si="55"/>
        <v>18</v>
      </c>
      <c r="O712">
        <f t="shared" si="56"/>
        <v>4</v>
      </c>
      <c r="P712" t="str">
        <f t="shared" si="57"/>
        <v>Observed Better</v>
      </c>
      <c r="Q712" t="str">
        <f t="shared" si="58"/>
        <v>April</v>
      </c>
      <c r="R712" t="str">
        <f t="shared" si="59"/>
        <v>Week 18</v>
      </c>
    </row>
    <row r="713" spans="1:18" x14ac:dyDescent="0.2">
      <c r="A713" s="11">
        <v>243987</v>
      </c>
      <c r="B713" s="2">
        <v>45410</v>
      </c>
      <c r="C713" t="s">
        <v>65</v>
      </c>
      <c r="D713" t="s">
        <v>66</v>
      </c>
      <c r="E713" t="s">
        <v>11</v>
      </c>
      <c r="F713" t="s">
        <v>134</v>
      </c>
      <c r="G713" t="s">
        <v>135</v>
      </c>
      <c r="H713" t="s">
        <v>67</v>
      </c>
      <c r="I713" t="s">
        <v>974</v>
      </c>
      <c r="J713" t="s">
        <v>115</v>
      </c>
      <c r="K713" t="s">
        <v>116</v>
      </c>
      <c r="L713" t="s">
        <v>70</v>
      </c>
      <c r="N713">
        <f t="shared" si="55"/>
        <v>18</v>
      </c>
      <c r="O713">
        <f t="shared" si="56"/>
        <v>4</v>
      </c>
      <c r="P713" t="str">
        <f t="shared" si="57"/>
        <v>Observed Better</v>
      </c>
      <c r="Q713" t="str">
        <f t="shared" si="58"/>
        <v>April</v>
      </c>
      <c r="R713" t="str">
        <f t="shared" si="59"/>
        <v>Week 18</v>
      </c>
    </row>
    <row r="714" spans="1:18" x14ac:dyDescent="0.2">
      <c r="A714" s="11">
        <v>243988</v>
      </c>
      <c r="B714" s="2">
        <v>45410</v>
      </c>
      <c r="C714" t="s">
        <v>65</v>
      </c>
      <c r="D714" t="s">
        <v>66</v>
      </c>
      <c r="E714" t="s">
        <v>11</v>
      </c>
      <c r="F714" t="s">
        <v>134</v>
      </c>
      <c r="G714" t="s">
        <v>135</v>
      </c>
      <c r="H714" t="s">
        <v>67</v>
      </c>
      <c r="I714" t="s">
        <v>974</v>
      </c>
      <c r="J714" t="s">
        <v>115</v>
      </c>
      <c r="K714" t="s">
        <v>116</v>
      </c>
      <c r="L714" t="s">
        <v>70</v>
      </c>
      <c r="N714">
        <f t="shared" si="55"/>
        <v>18</v>
      </c>
      <c r="O714">
        <f t="shared" si="56"/>
        <v>4</v>
      </c>
      <c r="P714" t="str">
        <f t="shared" si="57"/>
        <v>Observed Better</v>
      </c>
      <c r="Q714" t="str">
        <f t="shared" si="58"/>
        <v>April</v>
      </c>
      <c r="R714" t="str">
        <f t="shared" si="59"/>
        <v>Week 18</v>
      </c>
    </row>
    <row r="715" spans="1:18" x14ac:dyDescent="0.2">
      <c r="A715" s="11">
        <v>243989</v>
      </c>
      <c r="B715" s="2">
        <v>45410</v>
      </c>
      <c r="C715" t="s">
        <v>65</v>
      </c>
      <c r="D715" t="s">
        <v>66</v>
      </c>
      <c r="E715" t="s">
        <v>11</v>
      </c>
      <c r="F715" t="s">
        <v>134</v>
      </c>
      <c r="G715" t="s">
        <v>135</v>
      </c>
      <c r="H715" t="s">
        <v>67</v>
      </c>
      <c r="I715" t="s">
        <v>974</v>
      </c>
      <c r="J715" t="s">
        <v>115</v>
      </c>
      <c r="K715" t="s">
        <v>116</v>
      </c>
      <c r="L715" t="s">
        <v>70</v>
      </c>
      <c r="N715">
        <f t="shared" si="55"/>
        <v>18</v>
      </c>
      <c r="O715">
        <f t="shared" si="56"/>
        <v>4</v>
      </c>
      <c r="P715" t="str">
        <f t="shared" si="57"/>
        <v>Observed Better</v>
      </c>
      <c r="Q715" t="str">
        <f t="shared" si="58"/>
        <v>April</v>
      </c>
      <c r="R715" t="str">
        <f t="shared" si="59"/>
        <v>Week 18</v>
      </c>
    </row>
    <row r="716" spans="1:18" x14ac:dyDescent="0.2">
      <c r="A716">
        <v>243992</v>
      </c>
      <c r="B716" s="2">
        <v>45412</v>
      </c>
      <c r="C716" t="s">
        <v>65</v>
      </c>
      <c r="D716" t="s">
        <v>66</v>
      </c>
      <c r="E716" t="s">
        <v>11</v>
      </c>
      <c r="F716" t="s">
        <v>134</v>
      </c>
      <c r="G716" t="s">
        <v>370</v>
      </c>
      <c r="H716" t="s">
        <v>67</v>
      </c>
      <c r="I716" t="s">
        <v>975</v>
      </c>
      <c r="J716" t="s">
        <v>125</v>
      </c>
      <c r="K716" t="s">
        <v>126</v>
      </c>
      <c r="L716" t="s">
        <v>70</v>
      </c>
      <c r="N716">
        <f t="shared" si="55"/>
        <v>18</v>
      </c>
      <c r="O716">
        <f t="shared" si="56"/>
        <v>4</v>
      </c>
      <c r="P716" t="str">
        <f t="shared" si="57"/>
        <v>Observed Better</v>
      </c>
      <c r="Q716" t="str">
        <f t="shared" si="58"/>
        <v>April</v>
      </c>
      <c r="R716" t="str">
        <f t="shared" si="59"/>
        <v>Week 18</v>
      </c>
    </row>
    <row r="717" spans="1:18" x14ac:dyDescent="0.2">
      <c r="A717">
        <v>243993</v>
      </c>
      <c r="B717" s="2">
        <v>45412</v>
      </c>
      <c r="C717" t="s">
        <v>65</v>
      </c>
      <c r="D717" t="s">
        <v>66</v>
      </c>
      <c r="E717" t="s">
        <v>11</v>
      </c>
      <c r="F717" t="s">
        <v>12</v>
      </c>
      <c r="G717" t="s">
        <v>15</v>
      </c>
      <c r="H717" t="s">
        <v>67</v>
      </c>
      <c r="I717" t="s">
        <v>976</v>
      </c>
      <c r="J717" t="s">
        <v>125</v>
      </c>
      <c r="K717" t="s">
        <v>126</v>
      </c>
      <c r="L717" t="s">
        <v>70</v>
      </c>
      <c r="N717">
        <f t="shared" si="55"/>
        <v>18</v>
      </c>
      <c r="O717">
        <f t="shared" si="56"/>
        <v>4</v>
      </c>
      <c r="P717" t="str">
        <f t="shared" si="57"/>
        <v>Observed Better</v>
      </c>
      <c r="Q717" t="str">
        <f t="shared" si="58"/>
        <v>April</v>
      </c>
      <c r="R717" t="str">
        <f t="shared" si="59"/>
        <v>Week 18</v>
      </c>
    </row>
    <row r="718" spans="1:18" x14ac:dyDescent="0.2">
      <c r="A718">
        <v>243994</v>
      </c>
      <c r="B718" s="2">
        <v>45412</v>
      </c>
      <c r="C718" t="s">
        <v>65</v>
      </c>
      <c r="D718" t="s">
        <v>66</v>
      </c>
      <c r="E718" t="s">
        <v>8</v>
      </c>
      <c r="F718" t="s">
        <v>9</v>
      </c>
      <c r="G718" t="s">
        <v>528</v>
      </c>
      <c r="H718" t="s">
        <v>67</v>
      </c>
      <c r="I718" t="s">
        <v>977</v>
      </c>
      <c r="J718" t="s">
        <v>125</v>
      </c>
      <c r="K718" t="s">
        <v>126</v>
      </c>
      <c r="L718" t="s">
        <v>70</v>
      </c>
      <c r="N718">
        <f t="shared" si="55"/>
        <v>18</v>
      </c>
      <c r="O718">
        <f t="shared" si="56"/>
        <v>4</v>
      </c>
      <c r="P718" t="str">
        <f t="shared" si="57"/>
        <v>Observed Better</v>
      </c>
      <c r="Q718" t="str">
        <f t="shared" si="58"/>
        <v>April</v>
      </c>
      <c r="R718" t="str">
        <f t="shared" si="59"/>
        <v>Week 18</v>
      </c>
    </row>
    <row r="719" spans="1:18" x14ac:dyDescent="0.2">
      <c r="A719">
        <v>243995</v>
      </c>
      <c r="B719" s="2">
        <v>45412</v>
      </c>
      <c r="C719" t="s">
        <v>65</v>
      </c>
      <c r="D719" t="s">
        <v>66</v>
      </c>
      <c r="E719" t="s">
        <v>20</v>
      </c>
      <c r="F719" t="s">
        <v>21</v>
      </c>
      <c r="G719" t="s">
        <v>22</v>
      </c>
      <c r="H719" t="s">
        <v>67</v>
      </c>
      <c r="I719" t="s">
        <v>978</v>
      </c>
      <c r="J719" t="s">
        <v>834</v>
      </c>
      <c r="K719" t="s">
        <v>835</v>
      </c>
      <c r="L719" t="s">
        <v>70</v>
      </c>
      <c r="M719" t="s">
        <v>979</v>
      </c>
      <c r="N719">
        <f t="shared" si="55"/>
        <v>18</v>
      </c>
      <c r="O719">
        <f t="shared" si="56"/>
        <v>4</v>
      </c>
      <c r="P719" t="str">
        <f t="shared" si="57"/>
        <v>Observed Better</v>
      </c>
      <c r="Q719" t="str">
        <f t="shared" si="58"/>
        <v>April</v>
      </c>
      <c r="R719" t="str">
        <f t="shared" si="59"/>
        <v>Week 18</v>
      </c>
    </row>
    <row r="720" spans="1:18" x14ac:dyDescent="0.2">
      <c r="A720">
        <v>243996</v>
      </c>
      <c r="B720" s="2">
        <v>45412</v>
      </c>
      <c r="C720" t="s">
        <v>65</v>
      </c>
      <c r="D720" t="s">
        <v>66</v>
      </c>
      <c r="E720" t="s">
        <v>20</v>
      </c>
      <c r="F720" t="s">
        <v>21</v>
      </c>
      <c r="G720" t="s">
        <v>22</v>
      </c>
      <c r="H720" t="s">
        <v>67</v>
      </c>
      <c r="I720" t="s">
        <v>978</v>
      </c>
      <c r="J720" t="s">
        <v>834</v>
      </c>
      <c r="K720" t="s">
        <v>835</v>
      </c>
      <c r="L720" t="s">
        <v>70</v>
      </c>
      <c r="M720" t="s">
        <v>979</v>
      </c>
      <c r="N720">
        <f t="shared" si="55"/>
        <v>18</v>
      </c>
      <c r="O720">
        <f t="shared" si="56"/>
        <v>4</v>
      </c>
      <c r="P720" t="str">
        <f t="shared" si="57"/>
        <v>Observed Better</v>
      </c>
      <c r="Q720" t="str">
        <f t="shared" si="58"/>
        <v>April</v>
      </c>
      <c r="R720" t="str">
        <f t="shared" si="59"/>
        <v>Week 18</v>
      </c>
    </row>
    <row r="721" spans="1:18" x14ac:dyDescent="0.2">
      <c r="A721">
        <v>243997</v>
      </c>
      <c r="B721" s="2">
        <v>45412</v>
      </c>
      <c r="C721" t="s">
        <v>65</v>
      </c>
      <c r="D721" t="s">
        <v>66</v>
      </c>
      <c r="E721" t="s">
        <v>8</v>
      </c>
      <c r="F721" t="s">
        <v>9</v>
      </c>
      <c r="G721" t="s">
        <v>203</v>
      </c>
      <c r="H721" t="s">
        <v>67</v>
      </c>
      <c r="I721" t="s">
        <v>980</v>
      </c>
      <c r="J721" t="s">
        <v>834</v>
      </c>
      <c r="K721" t="s">
        <v>835</v>
      </c>
      <c r="L721" t="s">
        <v>70</v>
      </c>
      <c r="M721" t="s">
        <v>981</v>
      </c>
      <c r="N721">
        <f t="shared" si="55"/>
        <v>18</v>
      </c>
      <c r="O721">
        <f t="shared" si="56"/>
        <v>4</v>
      </c>
      <c r="P721" t="str">
        <f t="shared" si="57"/>
        <v>Observed Better</v>
      </c>
      <c r="Q721" t="str">
        <f t="shared" si="58"/>
        <v>April</v>
      </c>
      <c r="R721" t="str">
        <f t="shared" si="59"/>
        <v>Week 18</v>
      </c>
    </row>
    <row r="722" spans="1:18" x14ac:dyDescent="0.2">
      <c r="A722">
        <v>243998</v>
      </c>
      <c r="B722" s="2">
        <v>45412</v>
      </c>
      <c r="C722" t="s">
        <v>65</v>
      </c>
      <c r="D722" t="s">
        <v>66</v>
      </c>
      <c r="E722" t="s">
        <v>8</v>
      </c>
      <c r="F722" t="s">
        <v>9</v>
      </c>
      <c r="G722" t="s">
        <v>203</v>
      </c>
      <c r="H722" t="s">
        <v>67</v>
      </c>
      <c r="I722" t="s">
        <v>980</v>
      </c>
      <c r="J722" t="s">
        <v>834</v>
      </c>
      <c r="K722" t="s">
        <v>835</v>
      </c>
      <c r="L722" t="s">
        <v>70</v>
      </c>
      <c r="M722" t="s">
        <v>981</v>
      </c>
      <c r="N722">
        <f t="shared" si="55"/>
        <v>18</v>
      </c>
      <c r="O722">
        <f t="shared" si="56"/>
        <v>4</v>
      </c>
      <c r="P722" t="str">
        <f t="shared" si="57"/>
        <v>Observed Better</v>
      </c>
      <c r="Q722" t="str">
        <f t="shared" si="58"/>
        <v>April</v>
      </c>
      <c r="R722" t="str">
        <f t="shared" si="59"/>
        <v>Week 18</v>
      </c>
    </row>
    <row r="723" spans="1:18" x14ac:dyDescent="0.2">
      <c r="A723">
        <v>243999</v>
      </c>
      <c r="B723" s="2">
        <v>45412</v>
      </c>
      <c r="C723" t="s">
        <v>65</v>
      </c>
      <c r="D723" t="s">
        <v>66</v>
      </c>
      <c r="E723" t="s">
        <v>8</v>
      </c>
      <c r="F723" t="s">
        <v>9</v>
      </c>
      <c r="G723" t="s">
        <v>10</v>
      </c>
      <c r="H723" t="s">
        <v>67</v>
      </c>
      <c r="I723" t="s">
        <v>982</v>
      </c>
      <c r="J723" t="s">
        <v>834</v>
      </c>
      <c r="K723" t="s">
        <v>835</v>
      </c>
      <c r="L723" t="s">
        <v>77</v>
      </c>
      <c r="M723" t="s">
        <v>983</v>
      </c>
      <c r="N723">
        <f t="shared" si="55"/>
        <v>18</v>
      </c>
      <c r="O723">
        <f t="shared" si="56"/>
        <v>4</v>
      </c>
      <c r="P723" t="str">
        <f t="shared" si="57"/>
        <v>Provided Guidance</v>
      </c>
      <c r="Q723" t="str">
        <f t="shared" si="58"/>
        <v>April</v>
      </c>
      <c r="R723" t="str">
        <f t="shared" si="59"/>
        <v>Week 18</v>
      </c>
    </row>
    <row r="724" spans="1:18" x14ac:dyDescent="0.2">
      <c r="A724">
        <v>244000</v>
      </c>
      <c r="B724" s="2">
        <v>45412</v>
      </c>
      <c r="C724" t="s">
        <v>65</v>
      </c>
      <c r="D724" t="s">
        <v>66</v>
      </c>
      <c r="E724" t="s">
        <v>8</v>
      </c>
      <c r="F724" t="s">
        <v>9</v>
      </c>
      <c r="G724" t="s">
        <v>10</v>
      </c>
      <c r="H724" t="s">
        <v>67</v>
      </c>
      <c r="I724" t="s">
        <v>982</v>
      </c>
      <c r="J724" t="s">
        <v>834</v>
      </c>
      <c r="K724" t="s">
        <v>835</v>
      </c>
      <c r="L724" t="s">
        <v>77</v>
      </c>
      <c r="M724" t="s">
        <v>983</v>
      </c>
      <c r="N724">
        <f t="shared" si="55"/>
        <v>18</v>
      </c>
      <c r="O724">
        <f t="shared" si="56"/>
        <v>4</v>
      </c>
      <c r="P724" t="str">
        <f t="shared" si="57"/>
        <v>Provided Guidance</v>
      </c>
      <c r="Q724" t="str">
        <f t="shared" si="58"/>
        <v>April</v>
      </c>
      <c r="R724" t="str">
        <f t="shared" si="59"/>
        <v>Week 18</v>
      </c>
    </row>
    <row r="725" spans="1:18" x14ac:dyDescent="0.2">
      <c r="A725">
        <v>244001</v>
      </c>
      <c r="B725" s="2">
        <v>45412</v>
      </c>
      <c r="C725" t="s">
        <v>65</v>
      </c>
      <c r="D725" t="s">
        <v>66</v>
      </c>
      <c r="E725" t="s">
        <v>20</v>
      </c>
      <c r="F725" t="s">
        <v>235</v>
      </c>
      <c r="H725" t="s">
        <v>67</v>
      </c>
      <c r="I725" t="s">
        <v>984</v>
      </c>
      <c r="J725" t="s">
        <v>834</v>
      </c>
      <c r="K725" t="s">
        <v>835</v>
      </c>
      <c r="L725" t="s">
        <v>77</v>
      </c>
      <c r="M725" t="s">
        <v>985</v>
      </c>
      <c r="N725">
        <f t="shared" si="55"/>
        <v>18</v>
      </c>
      <c r="O725">
        <f t="shared" si="56"/>
        <v>4</v>
      </c>
      <c r="P725" t="str">
        <f t="shared" si="57"/>
        <v>Provided Guidance</v>
      </c>
      <c r="Q725" t="str">
        <f t="shared" si="58"/>
        <v>April</v>
      </c>
      <c r="R725" t="str">
        <f t="shared" si="59"/>
        <v>Week 18</v>
      </c>
    </row>
    <row r="726" spans="1:18" x14ac:dyDescent="0.2">
      <c r="A726">
        <v>244002</v>
      </c>
      <c r="B726" s="2">
        <v>45412</v>
      </c>
      <c r="C726" t="s">
        <v>65</v>
      </c>
      <c r="D726" t="s">
        <v>66</v>
      </c>
      <c r="E726" t="s">
        <v>20</v>
      </c>
      <c r="F726" t="s">
        <v>235</v>
      </c>
      <c r="H726" t="s">
        <v>67</v>
      </c>
      <c r="I726" t="s">
        <v>984</v>
      </c>
      <c r="J726" t="s">
        <v>834</v>
      </c>
      <c r="K726" t="s">
        <v>835</v>
      </c>
      <c r="L726" t="s">
        <v>77</v>
      </c>
      <c r="M726" t="s">
        <v>985</v>
      </c>
      <c r="N726">
        <f t="shared" si="55"/>
        <v>18</v>
      </c>
      <c r="O726">
        <f t="shared" si="56"/>
        <v>4</v>
      </c>
      <c r="P726" t="str">
        <f t="shared" si="57"/>
        <v>Provided Guidance</v>
      </c>
      <c r="Q726" t="str">
        <f t="shared" si="58"/>
        <v>April</v>
      </c>
      <c r="R726" t="str">
        <f t="shared" si="59"/>
        <v>Week 18</v>
      </c>
    </row>
    <row r="727" spans="1:18" x14ac:dyDescent="0.2">
      <c r="A727">
        <v>244003</v>
      </c>
      <c r="B727" s="2">
        <v>45412</v>
      </c>
      <c r="C727" t="s">
        <v>65</v>
      </c>
      <c r="D727" t="s">
        <v>66</v>
      </c>
      <c r="E727" t="s">
        <v>8</v>
      </c>
      <c r="F727" t="s">
        <v>9</v>
      </c>
      <c r="G727" t="s">
        <v>203</v>
      </c>
      <c r="H727" t="s">
        <v>67</v>
      </c>
      <c r="I727" t="s">
        <v>986</v>
      </c>
      <c r="J727" t="s">
        <v>834</v>
      </c>
      <c r="K727" t="s">
        <v>835</v>
      </c>
      <c r="L727" t="s">
        <v>77</v>
      </c>
      <c r="N727">
        <f t="shared" si="55"/>
        <v>18</v>
      </c>
      <c r="O727">
        <f t="shared" si="56"/>
        <v>4</v>
      </c>
      <c r="P727" t="str">
        <f t="shared" si="57"/>
        <v>Provided Guidance</v>
      </c>
      <c r="Q727" t="str">
        <f t="shared" si="58"/>
        <v>April</v>
      </c>
      <c r="R727" t="str">
        <f t="shared" si="59"/>
        <v>Week 18</v>
      </c>
    </row>
    <row r="728" spans="1:18" x14ac:dyDescent="0.2">
      <c r="A728">
        <v>244004</v>
      </c>
      <c r="B728" s="2">
        <v>45412</v>
      </c>
      <c r="C728" t="s">
        <v>65</v>
      </c>
      <c r="D728" t="s">
        <v>66</v>
      </c>
      <c r="E728" t="s">
        <v>8</v>
      </c>
      <c r="F728" t="s">
        <v>9</v>
      </c>
      <c r="G728" t="s">
        <v>203</v>
      </c>
      <c r="H728" t="s">
        <v>67</v>
      </c>
      <c r="I728" t="s">
        <v>986</v>
      </c>
      <c r="J728" t="s">
        <v>834</v>
      </c>
      <c r="K728" t="s">
        <v>835</v>
      </c>
      <c r="L728" t="s">
        <v>77</v>
      </c>
      <c r="N728">
        <f t="shared" si="55"/>
        <v>18</v>
      </c>
      <c r="O728">
        <f t="shared" si="56"/>
        <v>4</v>
      </c>
      <c r="P728" t="str">
        <f t="shared" si="57"/>
        <v>Provided Guidance</v>
      </c>
      <c r="Q728" t="str">
        <f t="shared" si="58"/>
        <v>April</v>
      </c>
      <c r="R728" t="str">
        <f t="shared" si="59"/>
        <v>Week 18</v>
      </c>
    </row>
    <row r="729" spans="1:18" x14ac:dyDescent="0.2">
      <c r="A729">
        <v>244005</v>
      </c>
      <c r="B729" s="2">
        <v>45412</v>
      </c>
      <c r="C729" t="s">
        <v>65</v>
      </c>
      <c r="D729" t="s">
        <v>66</v>
      </c>
      <c r="E729" t="s">
        <v>11</v>
      </c>
      <c r="F729" t="s">
        <v>220</v>
      </c>
      <c r="H729" t="s">
        <v>67</v>
      </c>
      <c r="I729" t="s">
        <v>987</v>
      </c>
      <c r="J729" t="s">
        <v>772</v>
      </c>
      <c r="K729" t="s">
        <v>773</v>
      </c>
      <c r="L729" t="s">
        <v>70</v>
      </c>
      <c r="N729">
        <f t="shared" si="55"/>
        <v>18</v>
      </c>
      <c r="O729">
        <f t="shared" si="56"/>
        <v>4</v>
      </c>
      <c r="P729" t="str">
        <f t="shared" si="57"/>
        <v>Observed Better</v>
      </c>
      <c r="Q729" t="str">
        <f t="shared" si="58"/>
        <v>April</v>
      </c>
      <c r="R729" t="str">
        <f t="shared" si="59"/>
        <v>Week 18</v>
      </c>
    </row>
    <row r="730" spans="1:18" x14ac:dyDescent="0.2">
      <c r="A730">
        <v>244006</v>
      </c>
      <c r="B730" s="2">
        <v>45412</v>
      </c>
      <c r="C730" t="s">
        <v>65</v>
      </c>
      <c r="D730" t="s">
        <v>66</v>
      </c>
      <c r="E730" t="s">
        <v>11</v>
      </c>
      <c r="F730" t="s">
        <v>12</v>
      </c>
      <c r="G730" t="s">
        <v>14</v>
      </c>
      <c r="H730" t="s">
        <v>67</v>
      </c>
      <c r="I730" t="s">
        <v>988</v>
      </c>
      <c r="J730" t="s">
        <v>834</v>
      </c>
      <c r="K730" t="s">
        <v>835</v>
      </c>
      <c r="L730" t="s">
        <v>77</v>
      </c>
      <c r="M730" t="s">
        <v>989</v>
      </c>
      <c r="N730">
        <f t="shared" si="55"/>
        <v>18</v>
      </c>
      <c r="O730">
        <f t="shared" si="56"/>
        <v>4</v>
      </c>
      <c r="P730" t="str">
        <f t="shared" si="57"/>
        <v>Provided Guidance</v>
      </c>
      <c r="Q730" t="str">
        <f t="shared" si="58"/>
        <v>April</v>
      </c>
      <c r="R730" t="str">
        <f t="shared" si="59"/>
        <v>Week 18</v>
      </c>
    </row>
    <row r="731" spans="1:18" x14ac:dyDescent="0.2">
      <c r="A731">
        <v>244007</v>
      </c>
      <c r="B731" s="2">
        <v>45412</v>
      </c>
      <c r="C731" t="s">
        <v>65</v>
      </c>
      <c r="D731" t="s">
        <v>66</v>
      </c>
      <c r="E731" t="s">
        <v>11</v>
      </c>
      <c r="F731" t="s">
        <v>12</v>
      </c>
      <c r="G731" t="s">
        <v>14</v>
      </c>
      <c r="H731" t="s">
        <v>67</v>
      </c>
      <c r="I731" t="s">
        <v>988</v>
      </c>
      <c r="J731" t="s">
        <v>834</v>
      </c>
      <c r="K731" t="s">
        <v>835</v>
      </c>
      <c r="L731" t="s">
        <v>77</v>
      </c>
      <c r="M731" t="s">
        <v>989</v>
      </c>
      <c r="N731">
        <f t="shared" si="55"/>
        <v>18</v>
      </c>
      <c r="O731">
        <f t="shared" si="56"/>
        <v>4</v>
      </c>
      <c r="P731" t="str">
        <f t="shared" si="57"/>
        <v>Provided Guidance</v>
      </c>
      <c r="Q731" t="str">
        <f t="shared" si="58"/>
        <v>April</v>
      </c>
      <c r="R731" t="str">
        <f t="shared" si="59"/>
        <v>Week 18</v>
      </c>
    </row>
    <row r="732" spans="1:18" x14ac:dyDescent="0.2">
      <c r="A732">
        <v>244008</v>
      </c>
      <c r="B732" s="2">
        <v>45412</v>
      </c>
      <c r="C732" t="s">
        <v>65</v>
      </c>
      <c r="D732" t="s">
        <v>66</v>
      </c>
      <c r="E732" t="s">
        <v>16</v>
      </c>
      <c r="F732" t="s">
        <v>162</v>
      </c>
      <c r="H732" t="s">
        <v>67</v>
      </c>
      <c r="I732" t="s">
        <v>990</v>
      </c>
      <c r="J732" t="s">
        <v>772</v>
      </c>
      <c r="K732" t="s">
        <v>773</v>
      </c>
      <c r="L732" t="s">
        <v>70</v>
      </c>
      <c r="N732">
        <f t="shared" si="55"/>
        <v>18</v>
      </c>
      <c r="O732">
        <f t="shared" si="56"/>
        <v>4</v>
      </c>
      <c r="P732" t="str">
        <f t="shared" si="57"/>
        <v>Observed Better</v>
      </c>
      <c r="Q732" t="str">
        <f t="shared" si="58"/>
        <v>April</v>
      </c>
      <c r="R732" t="str">
        <f t="shared" si="59"/>
        <v>Week 18</v>
      </c>
    </row>
    <row r="733" spans="1:18" x14ac:dyDescent="0.2">
      <c r="A733">
        <v>244009</v>
      </c>
      <c r="B733" s="2">
        <v>45412</v>
      </c>
      <c r="C733" t="s">
        <v>65</v>
      </c>
      <c r="D733" t="s">
        <v>66</v>
      </c>
      <c r="E733" t="s">
        <v>20</v>
      </c>
      <c r="F733" t="s">
        <v>21</v>
      </c>
      <c r="G733" t="s">
        <v>73</v>
      </c>
      <c r="H733" t="s">
        <v>67</v>
      </c>
      <c r="I733" t="s">
        <v>991</v>
      </c>
      <c r="J733" t="s">
        <v>125</v>
      </c>
      <c r="K733" t="s">
        <v>126</v>
      </c>
      <c r="L733" t="s">
        <v>70</v>
      </c>
      <c r="N733">
        <f t="shared" si="55"/>
        <v>18</v>
      </c>
      <c r="O733">
        <f t="shared" si="56"/>
        <v>4</v>
      </c>
      <c r="P733" t="str">
        <f t="shared" si="57"/>
        <v>Observed Better</v>
      </c>
      <c r="Q733" t="str">
        <f t="shared" si="58"/>
        <v>April</v>
      </c>
      <c r="R733" t="str">
        <f t="shared" si="59"/>
        <v>Week 18</v>
      </c>
    </row>
    <row r="734" spans="1:18" x14ac:dyDescent="0.2">
      <c r="A734">
        <v>244010</v>
      </c>
      <c r="B734" s="2">
        <v>45412</v>
      </c>
      <c r="C734" t="s">
        <v>65</v>
      </c>
      <c r="D734" t="s">
        <v>66</v>
      </c>
      <c r="E734" t="s">
        <v>20</v>
      </c>
      <c r="F734" t="s">
        <v>21</v>
      </c>
      <c r="G734" t="s">
        <v>22</v>
      </c>
      <c r="H734" t="s">
        <v>67</v>
      </c>
      <c r="I734" t="s">
        <v>992</v>
      </c>
      <c r="J734" t="s">
        <v>125</v>
      </c>
      <c r="K734" t="s">
        <v>126</v>
      </c>
      <c r="L734" t="s">
        <v>70</v>
      </c>
      <c r="N734">
        <f t="shared" si="55"/>
        <v>18</v>
      </c>
      <c r="O734">
        <f t="shared" si="56"/>
        <v>4</v>
      </c>
      <c r="P734" t="str">
        <f t="shared" si="57"/>
        <v>Observed Better</v>
      </c>
      <c r="Q734" t="str">
        <f t="shared" si="58"/>
        <v>April</v>
      </c>
      <c r="R734" t="str">
        <f t="shared" si="59"/>
        <v>Week 18</v>
      </c>
    </row>
    <row r="735" spans="1:18" x14ac:dyDescent="0.2">
      <c r="A735">
        <v>244011</v>
      </c>
      <c r="B735" s="2">
        <v>45412</v>
      </c>
      <c r="C735" t="s">
        <v>65</v>
      </c>
      <c r="D735" t="s">
        <v>66</v>
      </c>
      <c r="E735" t="s">
        <v>20</v>
      </c>
      <c r="F735" t="s">
        <v>21</v>
      </c>
      <c r="G735" t="s">
        <v>22</v>
      </c>
      <c r="H735" t="s">
        <v>67</v>
      </c>
      <c r="I735" t="s">
        <v>993</v>
      </c>
      <c r="J735" t="s">
        <v>801</v>
      </c>
      <c r="K735" t="s">
        <v>802</v>
      </c>
      <c r="L735" t="s">
        <v>70</v>
      </c>
      <c r="N735">
        <f t="shared" si="55"/>
        <v>18</v>
      </c>
      <c r="O735">
        <f t="shared" si="56"/>
        <v>4</v>
      </c>
      <c r="P735" t="str">
        <f t="shared" si="57"/>
        <v>Observed Better</v>
      </c>
      <c r="Q735" t="str">
        <f t="shared" si="58"/>
        <v>April</v>
      </c>
      <c r="R735" t="str">
        <f t="shared" si="59"/>
        <v>Week 18</v>
      </c>
    </row>
    <row r="736" spans="1:18" x14ac:dyDescent="0.2">
      <c r="A736">
        <v>244012</v>
      </c>
      <c r="B736" s="2">
        <v>45412</v>
      </c>
      <c r="C736" t="s">
        <v>65</v>
      </c>
      <c r="D736" t="s">
        <v>66</v>
      </c>
      <c r="E736" t="s">
        <v>20</v>
      </c>
      <c r="F736" t="s">
        <v>21</v>
      </c>
      <c r="G736" t="s">
        <v>22</v>
      </c>
      <c r="H736" t="s">
        <v>67</v>
      </c>
      <c r="I736" t="s">
        <v>993</v>
      </c>
      <c r="J736" t="s">
        <v>801</v>
      </c>
      <c r="K736" t="s">
        <v>802</v>
      </c>
      <c r="L736" t="s">
        <v>70</v>
      </c>
      <c r="N736">
        <f t="shared" si="55"/>
        <v>18</v>
      </c>
      <c r="O736">
        <f t="shared" si="56"/>
        <v>4</v>
      </c>
      <c r="P736" t="str">
        <f t="shared" si="57"/>
        <v>Observed Better</v>
      </c>
      <c r="Q736" t="str">
        <f t="shared" si="58"/>
        <v>April</v>
      </c>
      <c r="R736" t="str">
        <f t="shared" si="59"/>
        <v>Week 18</v>
      </c>
    </row>
    <row r="737" spans="1:18" x14ac:dyDescent="0.2">
      <c r="A737">
        <v>244013</v>
      </c>
      <c r="B737" s="2">
        <v>45412</v>
      </c>
      <c r="C737" t="s">
        <v>65</v>
      </c>
      <c r="D737" t="s">
        <v>66</v>
      </c>
      <c r="E737" t="s">
        <v>20</v>
      </c>
      <c r="F737" t="s">
        <v>21</v>
      </c>
      <c r="G737" t="s">
        <v>22</v>
      </c>
      <c r="H737" t="s">
        <v>67</v>
      </c>
      <c r="I737" t="s">
        <v>993</v>
      </c>
      <c r="J737" t="s">
        <v>801</v>
      </c>
      <c r="K737" t="s">
        <v>802</v>
      </c>
      <c r="L737" t="s">
        <v>70</v>
      </c>
      <c r="N737">
        <f t="shared" si="55"/>
        <v>18</v>
      </c>
      <c r="O737">
        <f t="shared" si="56"/>
        <v>4</v>
      </c>
      <c r="P737" t="str">
        <f t="shared" si="57"/>
        <v>Observed Better</v>
      </c>
      <c r="Q737" t="str">
        <f t="shared" si="58"/>
        <v>April</v>
      </c>
      <c r="R737" t="str">
        <f t="shared" si="59"/>
        <v>Week 18</v>
      </c>
    </row>
    <row r="738" spans="1:18" x14ac:dyDescent="0.2">
      <c r="A738">
        <v>244014</v>
      </c>
      <c r="B738" s="2">
        <v>45412</v>
      </c>
      <c r="C738" t="s">
        <v>65</v>
      </c>
      <c r="D738" t="s">
        <v>66</v>
      </c>
      <c r="E738" t="s">
        <v>24</v>
      </c>
      <c r="F738" t="s">
        <v>10</v>
      </c>
      <c r="G738" t="s">
        <v>26</v>
      </c>
      <c r="H738" t="s">
        <v>67</v>
      </c>
      <c r="I738" t="s">
        <v>994</v>
      </c>
      <c r="J738" t="s">
        <v>801</v>
      </c>
      <c r="K738" t="s">
        <v>802</v>
      </c>
      <c r="L738" t="s">
        <v>70</v>
      </c>
      <c r="N738">
        <f t="shared" si="55"/>
        <v>18</v>
      </c>
      <c r="O738">
        <f t="shared" si="56"/>
        <v>4</v>
      </c>
      <c r="P738" t="str">
        <f t="shared" si="57"/>
        <v>Observed Better</v>
      </c>
      <c r="Q738" t="str">
        <f t="shared" si="58"/>
        <v>April</v>
      </c>
      <c r="R738" t="str">
        <f t="shared" si="59"/>
        <v>Week 18</v>
      </c>
    </row>
    <row r="739" spans="1:18" x14ac:dyDescent="0.2">
      <c r="A739">
        <v>244015</v>
      </c>
      <c r="B739" s="2">
        <v>45412</v>
      </c>
      <c r="C739" t="s">
        <v>65</v>
      </c>
      <c r="D739" t="s">
        <v>66</v>
      </c>
      <c r="E739" t="s">
        <v>24</v>
      </c>
      <c r="F739" t="s">
        <v>10</v>
      </c>
      <c r="G739" t="s">
        <v>26</v>
      </c>
      <c r="H739" t="s">
        <v>67</v>
      </c>
      <c r="I739" t="s">
        <v>994</v>
      </c>
      <c r="J739" t="s">
        <v>801</v>
      </c>
      <c r="K739" t="s">
        <v>802</v>
      </c>
      <c r="L739" t="s">
        <v>70</v>
      </c>
      <c r="N739">
        <f t="shared" si="55"/>
        <v>18</v>
      </c>
      <c r="O739">
        <f t="shared" si="56"/>
        <v>4</v>
      </c>
      <c r="P739" t="str">
        <f t="shared" si="57"/>
        <v>Observed Better</v>
      </c>
      <c r="Q739" t="str">
        <f t="shared" si="58"/>
        <v>April</v>
      </c>
      <c r="R739" t="str">
        <f t="shared" si="59"/>
        <v>Week 18</v>
      </c>
    </row>
    <row r="740" spans="1:18" x14ac:dyDescent="0.2">
      <c r="A740">
        <v>244016</v>
      </c>
      <c r="B740" s="2">
        <v>45412</v>
      </c>
      <c r="C740" t="s">
        <v>65</v>
      </c>
      <c r="D740" t="s">
        <v>66</v>
      </c>
      <c r="E740" t="s">
        <v>24</v>
      </c>
      <c r="F740" t="s">
        <v>10</v>
      </c>
      <c r="G740" t="s">
        <v>26</v>
      </c>
      <c r="H740" t="s">
        <v>67</v>
      </c>
      <c r="I740" t="s">
        <v>994</v>
      </c>
      <c r="J740" t="s">
        <v>801</v>
      </c>
      <c r="K740" t="s">
        <v>802</v>
      </c>
      <c r="L740" t="s">
        <v>70</v>
      </c>
      <c r="N740">
        <f t="shared" si="55"/>
        <v>18</v>
      </c>
      <c r="O740">
        <f t="shared" si="56"/>
        <v>4</v>
      </c>
      <c r="P740" t="str">
        <f t="shared" si="57"/>
        <v>Observed Better</v>
      </c>
      <c r="Q740" t="str">
        <f t="shared" si="58"/>
        <v>April</v>
      </c>
      <c r="R740" t="str">
        <f t="shared" si="59"/>
        <v>Week 18</v>
      </c>
    </row>
    <row r="741" spans="1:18" x14ac:dyDescent="0.2">
      <c r="A741">
        <v>244017</v>
      </c>
      <c r="B741" s="2">
        <v>45412</v>
      </c>
      <c r="C741" t="s">
        <v>65</v>
      </c>
      <c r="D741" t="s">
        <v>66</v>
      </c>
      <c r="E741" t="s">
        <v>11</v>
      </c>
      <c r="F741" t="s">
        <v>131</v>
      </c>
      <c r="G741" t="s">
        <v>433</v>
      </c>
      <c r="H741" t="s">
        <v>67</v>
      </c>
      <c r="I741" t="s">
        <v>995</v>
      </c>
      <c r="J741" t="s">
        <v>801</v>
      </c>
      <c r="K741" t="s">
        <v>802</v>
      </c>
      <c r="L741" t="s">
        <v>70</v>
      </c>
      <c r="N741">
        <f t="shared" si="55"/>
        <v>18</v>
      </c>
      <c r="O741">
        <f t="shared" si="56"/>
        <v>4</v>
      </c>
      <c r="P741" t="str">
        <f t="shared" si="57"/>
        <v>Observed Better</v>
      </c>
      <c r="Q741" t="str">
        <f t="shared" si="58"/>
        <v>April</v>
      </c>
      <c r="R741" t="str">
        <f t="shared" si="59"/>
        <v>Week 18</v>
      </c>
    </row>
    <row r="742" spans="1:18" x14ac:dyDescent="0.2">
      <c r="A742">
        <v>244018</v>
      </c>
      <c r="B742" s="2">
        <v>45412</v>
      </c>
      <c r="C742" t="s">
        <v>65</v>
      </c>
      <c r="D742" t="s">
        <v>66</v>
      </c>
      <c r="E742" t="s">
        <v>11</v>
      </c>
      <c r="F742" t="s">
        <v>131</v>
      </c>
      <c r="G742" t="s">
        <v>433</v>
      </c>
      <c r="H742" t="s">
        <v>67</v>
      </c>
      <c r="I742" t="s">
        <v>995</v>
      </c>
      <c r="J742" t="s">
        <v>801</v>
      </c>
      <c r="K742" t="s">
        <v>802</v>
      </c>
      <c r="L742" t="s">
        <v>70</v>
      </c>
      <c r="N742">
        <f t="shared" si="55"/>
        <v>18</v>
      </c>
      <c r="O742">
        <f t="shared" si="56"/>
        <v>4</v>
      </c>
      <c r="P742" t="str">
        <f t="shared" si="57"/>
        <v>Observed Better</v>
      </c>
      <c r="Q742" t="str">
        <f t="shared" si="58"/>
        <v>April</v>
      </c>
      <c r="R742" t="str">
        <f t="shared" si="59"/>
        <v>Week 18</v>
      </c>
    </row>
    <row r="743" spans="1:18" x14ac:dyDescent="0.2">
      <c r="A743">
        <v>244019</v>
      </c>
      <c r="B743" s="2">
        <v>45412</v>
      </c>
      <c r="C743" t="s">
        <v>65</v>
      </c>
      <c r="D743" t="s">
        <v>66</v>
      </c>
      <c r="E743" t="s">
        <v>11</v>
      </c>
      <c r="F743" t="s">
        <v>131</v>
      </c>
      <c r="G743" t="s">
        <v>433</v>
      </c>
      <c r="H743" t="s">
        <v>67</v>
      </c>
      <c r="I743" t="s">
        <v>995</v>
      </c>
      <c r="J743" t="s">
        <v>801</v>
      </c>
      <c r="K743" t="s">
        <v>802</v>
      </c>
      <c r="L743" t="s">
        <v>70</v>
      </c>
      <c r="N743">
        <f t="shared" si="55"/>
        <v>18</v>
      </c>
      <c r="O743">
        <f t="shared" si="56"/>
        <v>4</v>
      </c>
      <c r="P743" t="str">
        <f t="shared" si="57"/>
        <v>Observed Better</v>
      </c>
      <c r="Q743" t="str">
        <f t="shared" si="58"/>
        <v>April</v>
      </c>
      <c r="R743" t="str">
        <f t="shared" si="59"/>
        <v>Week 18</v>
      </c>
    </row>
    <row r="744" spans="1:18" x14ac:dyDescent="0.2">
      <c r="A744">
        <v>244020</v>
      </c>
      <c r="B744" s="2">
        <v>45412</v>
      </c>
      <c r="C744" t="s">
        <v>65</v>
      </c>
      <c r="D744" t="s">
        <v>66</v>
      </c>
      <c r="E744" t="s">
        <v>20</v>
      </c>
      <c r="F744" t="s">
        <v>235</v>
      </c>
      <c r="H744" t="s">
        <v>67</v>
      </c>
      <c r="I744" t="s">
        <v>996</v>
      </c>
      <c r="J744" t="s">
        <v>997</v>
      </c>
      <c r="K744" t="s">
        <v>998</v>
      </c>
      <c r="L744" t="s">
        <v>70</v>
      </c>
      <c r="N744">
        <f t="shared" si="55"/>
        <v>18</v>
      </c>
      <c r="O744">
        <f t="shared" si="56"/>
        <v>4</v>
      </c>
      <c r="P744" t="str">
        <f t="shared" si="57"/>
        <v>Observed Better</v>
      </c>
      <c r="Q744" t="str">
        <f t="shared" si="58"/>
        <v>April</v>
      </c>
      <c r="R744" t="str">
        <f t="shared" si="59"/>
        <v>Week 18</v>
      </c>
    </row>
    <row r="745" spans="1:18" x14ac:dyDescent="0.2">
      <c r="A745">
        <v>244021</v>
      </c>
      <c r="B745" s="2">
        <v>45412</v>
      </c>
      <c r="C745" t="s">
        <v>65</v>
      </c>
      <c r="D745" t="s">
        <v>66</v>
      </c>
      <c r="E745" t="s">
        <v>24</v>
      </c>
      <c r="F745" t="s">
        <v>10</v>
      </c>
      <c r="G745" t="s">
        <v>26</v>
      </c>
      <c r="H745" t="s">
        <v>67</v>
      </c>
      <c r="I745" t="s">
        <v>999</v>
      </c>
      <c r="J745" t="s">
        <v>997</v>
      </c>
      <c r="K745" t="s">
        <v>998</v>
      </c>
      <c r="L745" t="s">
        <v>70</v>
      </c>
      <c r="N745">
        <f t="shared" si="55"/>
        <v>18</v>
      </c>
      <c r="O745">
        <f t="shared" si="56"/>
        <v>4</v>
      </c>
      <c r="P745" t="str">
        <f t="shared" si="57"/>
        <v>Observed Better</v>
      </c>
      <c r="Q745" t="str">
        <f t="shared" si="58"/>
        <v>April</v>
      </c>
      <c r="R745" t="str">
        <f t="shared" si="59"/>
        <v>Week 18</v>
      </c>
    </row>
    <row r="746" spans="1:18" x14ac:dyDescent="0.2">
      <c r="A746">
        <v>244022</v>
      </c>
      <c r="B746" s="2">
        <v>45412</v>
      </c>
      <c r="C746" t="s">
        <v>65</v>
      </c>
      <c r="D746" t="s">
        <v>66</v>
      </c>
      <c r="E746" t="s">
        <v>8</v>
      </c>
      <c r="F746" t="s">
        <v>9</v>
      </c>
      <c r="G746" t="s">
        <v>203</v>
      </c>
      <c r="H746" t="s">
        <v>67</v>
      </c>
      <c r="I746" t="s">
        <v>1000</v>
      </c>
      <c r="J746" t="s">
        <v>997</v>
      </c>
      <c r="K746" t="s">
        <v>998</v>
      </c>
      <c r="L746" t="s">
        <v>77</v>
      </c>
      <c r="N746">
        <f t="shared" si="55"/>
        <v>18</v>
      </c>
      <c r="O746">
        <f t="shared" si="56"/>
        <v>4</v>
      </c>
      <c r="P746" t="str">
        <f t="shared" si="57"/>
        <v>Provided Guidance</v>
      </c>
      <c r="Q746" t="str">
        <f t="shared" si="58"/>
        <v>April</v>
      </c>
      <c r="R746" t="str">
        <f t="shared" si="59"/>
        <v>Week 18</v>
      </c>
    </row>
    <row r="747" spans="1:18" x14ac:dyDescent="0.2">
      <c r="A747">
        <v>244023</v>
      </c>
      <c r="B747" s="2">
        <v>45412</v>
      </c>
      <c r="C747" t="s">
        <v>65</v>
      </c>
      <c r="D747" t="s">
        <v>66</v>
      </c>
      <c r="E747" t="s">
        <v>8</v>
      </c>
      <c r="F747" t="s">
        <v>9</v>
      </c>
      <c r="G747" t="s">
        <v>203</v>
      </c>
      <c r="H747" t="s">
        <v>67</v>
      </c>
      <c r="I747" t="s">
        <v>1001</v>
      </c>
      <c r="J747" t="s">
        <v>997</v>
      </c>
      <c r="K747" t="s">
        <v>998</v>
      </c>
      <c r="L747" t="s">
        <v>77</v>
      </c>
      <c r="N747">
        <f t="shared" si="55"/>
        <v>18</v>
      </c>
      <c r="O747">
        <f t="shared" si="56"/>
        <v>4</v>
      </c>
      <c r="P747" t="str">
        <f t="shared" si="57"/>
        <v>Provided Guidance</v>
      </c>
      <c r="Q747" t="str">
        <f t="shared" si="58"/>
        <v>April</v>
      </c>
      <c r="R747" t="str">
        <f t="shared" si="59"/>
        <v>Week 18</v>
      </c>
    </row>
    <row r="748" spans="1:18" x14ac:dyDescent="0.2">
      <c r="A748">
        <v>244024</v>
      </c>
      <c r="B748" s="2">
        <v>45412</v>
      </c>
      <c r="C748" t="s">
        <v>65</v>
      </c>
      <c r="D748" t="s">
        <v>66</v>
      </c>
      <c r="E748" t="s">
        <v>24</v>
      </c>
      <c r="F748" t="s">
        <v>10</v>
      </c>
      <c r="G748" t="s">
        <v>26</v>
      </c>
      <c r="H748" t="s">
        <v>67</v>
      </c>
      <c r="I748" t="s">
        <v>1002</v>
      </c>
      <c r="J748" t="s">
        <v>110</v>
      </c>
      <c r="K748" t="s">
        <v>111</v>
      </c>
      <c r="L748" t="s">
        <v>70</v>
      </c>
      <c r="N748">
        <f t="shared" si="55"/>
        <v>18</v>
      </c>
      <c r="O748">
        <f t="shared" si="56"/>
        <v>4</v>
      </c>
      <c r="P748" t="str">
        <f t="shared" si="57"/>
        <v>Observed Better</v>
      </c>
      <c r="Q748" t="str">
        <f t="shared" si="58"/>
        <v>April</v>
      </c>
      <c r="R748" t="str">
        <f t="shared" si="59"/>
        <v>Week 18</v>
      </c>
    </row>
    <row r="749" spans="1:18" x14ac:dyDescent="0.2">
      <c r="A749">
        <v>244025</v>
      </c>
      <c r="B749" s="2">
        <v>45412</v>
      </c>
      <c r="C749" t="s">
        <v>65</v>
      </c>
      <c r="D749" t="s">
        <v>66</v>
      </c>
      <c r="E749" t="s">
        <v>24</v>
      </c>
      <c r="F749" t="s">
        <v>10</v>
      </c>
      <c r="G749" t="s">
        <v>26</v>
      </c>
      <c r="H749" t="s">
        <v>67</v>
      </c>
      <c r="I749" t="s">
        <v>1003</v>
      </c>
      <c r="J749" t="s">
        <v>110</v>
      </c>
      <c r="K749" t="s">
        <v>111</v>
      </c>
      <c r="L749" t="s">
        <v>77</v>
      </c>
      <c r="N749">
        <f t="shared" si="55"/>
        <v>18</v>
      </c>
      <c r="O749">
        <f t="shared" si="56"/>
        <v>4</v>
      </c>
      <c r="P749" t="str">
        <f t="shared" si="57"/>
        <v>Provided Guidance</v>
      </c>
      <c r="Q749" t="str">
        <f t="shared" si="58"/>
        <v>April</v>
      </c>
      <c r="R749" t="str">
        <f t="shared" si="59"/>
        <v>Week 18</v>
      </c>
    </row>
    <row r="750" spans="1:18" x14ac:dyDescent="0.2">
      <c r="A750">
        <v>244026</v>
      </c>
      <c r="B750" s="2">
        <v>45412</v>
      </c>
      <c r="C750" t="s">
        <v>65</v>
      </c>
      <c r="D750" t="s">
        <v>66</v>
      </c>
      <c r="E750" t="s">
        <v>24</v>
      </c>
      <c r="F750" t="s">
        <v>10</v>
      </c>
      <c r="G750" t="s">
        <v>26</v>
      </c>
      <c r="H750" t="s">
        <v>67</v>
      </c>
      <c r="I750" t="s">
        <v>1004</v>
      </c>
      <c r="J750" t="s">
        <v>110</v>
      </c>
      <c r="K750" t="s">
        <v>111</v>
      </c>
      <c r="L750" t="s">
        <v>70</v>
      </c>
      <c r="N750">
        <f t="shared" si="55"/>
        <v>18</v>
      </c>
      <c r="O750">
        <f t="shared" si="56"/>
        <v>4</v>
      </c>
      <c r="P750" t="str">
        <f t="shared" si="57"/>
        <v>Observed Better</v>
      </c>
      <c r="Q750" t="str">
        <f t="shared" si="58"/>
        <v>April</v>
      </c>
      <c r="R750" t="str">
        <f t="shared" si="59"/>
        <v>Week 18</v>
      </c>
    </row>
    <row r="751" spans="1:18" x14ac:dyDescent="0.2">
      <c r="A751">
        <v>244027</v>
      </c>
      <c r="B751" s="2">
        <v>45412</v>
      </c>
      <c r="C751" t="s">
        <v>65</v>
      </c>
      <c r="D751" t="s">
        <v>66</v>
      </c>
      <c r="E751" t="s">
        <v>24</v>
      </c>
      <c r="F751" t="s">
        <v>10</v>
      </c>
      <c r="G751" t="s">
        <v>26</v>
      </c>
      <c r="H751" t="s">
        <v>67</v>
      </c>
      <c r="I751" t="s">
        <v>1005</v>
      </c>
      <c r="J751" t="s">
        <v>110</v>
      </c>
      <c r="K751" t="s">
        <v>111</v>
      </c>
      <c r="L751" t="s">
        <v>70</v>
      </c>
      <c r="N751">
        <f t="shared" si="55"/>
        <v>18</v>
      </c>
      <c r="O751">
        <f t="shared" si="56"/>
        <v>4</v>
      </c>
      <c r="P751" t="str">
        <f t="shared" si="57"/>
        <v>Observed Better</v>
      </c>
      <c r="Q751" t="str">
        <f t="shared" si="58"/>
        <v>April</v>
      </c>
      <c r="R751" t="str">
        <f t="shared" si="59"/>
        <v>Week 18</v>
      </c>
    </row>
    <row r="752" spans="1:18" x14ac:dyDescent="0.2">
      <c r="A752">
        <v>244028</v>
      </c>
      <c r="B752" s="2">
        <v>45413</v>
      </c>
      <c r="C752" t="s">
        <v>65</v>
      </c>
      <c r="D752" t="s">
        <v>66</v>
      </c>
      <c r="E752" t="s">
        <v>11</v>
      </c>
      <c r="F752" t="s">
        <v>134</v>
      </c>
      <c r="G752" t="s">
        <v>135</v>
      </c>
      <c r="H752" t="s">
        <v>67</v>
      </c>
      <c r="I752" t="s">
        <v>1006</v>
      </c>
      <c r="J752" t="s">
        <v>772</v>
      </c>
      <c r="K752" t="s">
        <v>773</v>
      </c>
      <c r="L752" t="s">
        <v>70</v>
      </c>
      <c r="N752">
        <f t="shared" si="55"/>
        <v>18</v>
      </c>
      <c r="O752">
        <f t="shared" si="56"/>
        <v>5</v>
      </c>
      <c r="P752" t="str">
        <f t="shared" si="57"/>
        <v>Observed Better</v>
      </c>
      <c r="Q752" t="str">
        <f t="shared" si="58"/>
        <v>May</v>
      </c>
      <c r="R752" t="str">
        <f t="shared" si="59"/>
        <v>Week 18</v>
      </c>
    </row>
    <row r="753" spans="1:18" x14ac:dyDescent="0.2">
      <c r="A753">
        <v>244029</v>
      </c>
      <c r="B753" s="2">
        <v>45413</v>
      </c>
      <c r="C753" t="s">
        <v>65</v>
      </c>
      <c r="D753" t="s">
        <v>66</v>
      </c>
      <c r="E753" t="s">
        <v>11</v>
      </c>
      <c r="F753" t="s">
        <v>134</v>
      </c>
      <c r="G753" t="s">
        <v>135</v>
      </c>
      <c r="H753" t="s">
        <v>67</v>
      </c>
      <c r="I753" t="s">
        <v>1007</v>
      </c>
      <c r="J753" t="s">
        <v>772</v>
      </c>
      <c r="K753" t="s">
        <v>773</v>
      </c>
      <c r="L753" t="s">
        <v>70</v>
      </c>
      <c r="N753">
        <f t="shared" si="55"/>
        <v>18</v>
      </c>
      <c r="O753">
        <f t="shared" si="56"/>
        <v>5</v>
      </c>
      <c r="P753" t="str">
        <f t="shared" si="57"/>
        <v>Observed Better</v>
      </c>
      <c r="Q753" t="str">
        <f t="shared" si="58"/>
        <v>May</v>
      </c>
      <c r="R753" t="str">
        <f t="shared" si="59"/>
        <v>Week 18</v>
      </c>
    </row>
    <row r="754" spans="1:18" x14ac:dyDescent="0.2">
      <c r="A754">
        <v>244030</v>
      </c>
      <c r="B754" s="2">
        <v>45413</v>
      </c>
      <c r="C754" t="s">
        <v>65</v>
      </c>
      <c r="D754" t="s">
        <v>66</v>
      </c>
      <c r="E754" t="s">
        <v>8</v>
      </c>
      <c r="F754" t="s">
        <v>9</v>
      </c>
      <c r="G754" t="s">
        <v>11</v>
      </c>
      <c r="H754" t="s">
        <v>67</v>
      </c>
      <c r="I754" t="s">
        <v>1008</v>
      </c>
      <c r="J754" t="s">
        <v>580</v>
      </c>
      <c r="K754" t="s">
        <v>581</v>
      </c>
      <c r="L754" t="s">
        <v>70</v>
      </c>
      <c r="N754">
        <f t="shared" si="55"/>
        <v>18</v>
      </c>
      <c r="O754">
        <f t="shared" si="56"/>
        <v>5</v>
      </c>
      <c r="P754" t="str">
        <f t="shared" si="57"/>
        <v>Observed Better</v>
      </c>
      <c r="Q754" t="str">
        <f t="shared" si="58"/>
        <v>May</v>
      </c>
      <c r="R754" t="str">
        <f t="shared" si="59"/>
        <v>Week 18</v>
      </c>
    </row>
    <row r="755" spans="1:18" x14ac:dyDescent="0.2">
      <c r="A755">
        <v>244031</v>
      </c>
      <c r="B755" s="2">
        <v>45413</v>
      </c>
      <c r="C755" t="s">
        <v>65</v>
      </c>
      <c r="D755" t="s">
        <v>66</v>
      </c>
      <c r="E755" t="s">
        <v>8</v>
      </c>
      <c r="F755" t="s">
        <v>427</v>
      </c>
      <c r="G755" t="s">
        <v>428</v>
      </c>
      <c r="H755" t="s">
        <v>67</v>
      </c>
      <c r="I755" t="s">
        <v>1009</v>
      </c>
      <c r="J755" t="s">
        <v>580</v>
      </c>
      <c r="K755" t="s">
        <v>581</v>
      </c>
      <c r="L755" t="s">
        <v>70</v>
      </c>
      <c r="N755">
        <f t="shared" si="55"/>
        <v>18</v>
      </c>
      <c r="O755">
        <f t="shared" si="56"/>
        <v>5</v>
      </c>
      <c r="P755" t="str">
        <f t="shared" si="57"/>
        <v>Observed Better</v>
      </c>
      <c r="Q755" t="str">
        <f t="shared" si="58"/>
        <v>May</v>
      </c>
      <c r="R755" t="str">
        <f t="shared" si="59"/>
        <v>Week 18</v>
      </c>
    </row>
    <row r="756" spans="1:18" x14ac:dyDescent="0.2">
      <c r="A756">
        <v>244032</v>
      </c>
      <c r="B756" s="2">
        <v>45413</v>
      </c>
      <c r="C756" t="s">
        <v>65</v>
      </c>
      <c r="D756" t="s">
        <v>66</v>
      </c>
      <c r="E756" t="s">
        <v>8</v>
      </c>
      <c r="F756" t="s">
        <v>9</v>
      </c>
      <c r="G756" t="s">
        <v>203</v>
      </c>
      <c r="H756" t="s">
        <v>67</v>
      </c>
      <c r="I756" t="s">
        <v>1010</v>
      </c>
      <c r="J756" t="s">
        <v>580</v>
      </c>
      <c r="K756" t="s">
        <v>581</v>
      </c>
      <c r="L756" t="s">
        <v>70</v>
      </c>
      <c r="N756">
        <f t="shared" si="55"/>
        <v>18</v>
      </c>
      <c r="O756">
        <f t="shared" si="56"/>
        <v>5</v>
      </c>
      <c r="P756" t="str">
        <f t="shared" si="57"/>
        <v>Observed Better</v>
      </c>
      <c r="Q756" t="str">
        <f t="shared" si="58"/>
        <v>May</v>
      </c>
      <c r="R756" t="str">
        <f t="shared" si="59"/>
        <v>Week 18</v>
      </c>
    </row>
    <row r="757" spans="1:18" x14ac:dyDescent="0.2">
      <c r="A757">
        <v>244033</v>
      </c>
      <c r="B757" s="2">
        <v>45413</v>
      </c>
      <c r="C757" t="s">
        <v>65</v>
      </c>
      <c r="D757" t="s">
        <v>66</v>
      </c>
      <c r="E757" t="s">
        <v>8</v>
      </c>
      <c r="F757" t="s">
        <v>9</v>
      </c>
      <c r="G757" t="s">
        <v>11</v>
      </c>
      <c r="H757" t="s">
        <v>67</v>
      </c>
      <c r="I757" t="s">
        <v>1011</v>
      </c>
      <c r="J757" t="s">
        <v>801</v>
      </c>
      <c r="K757" t="s">
        <v>802</v>
      </c>
      <c r="L757" t="s">
        <v>70</v>
      </c>
      <c r="N757">
        <f t="shared" si="55"/>
        <v>18</v>
      </c>
      <c r="O757">
        <f t="shared" si="56"/>
        <v>5</v>
      </c>
      <c r="P757" t="str">
        <f t="shared" si="57"/>
        <v>Observed Better</v>
      </c>
      <c r="Q757" t="str">
        <f t="shared" si="58"/>
        <v>May</v>
      </c>
      <c r="R757" t="str">
        <f t="shared" si="59"/>
        <v>Week 18</v>
      </c>
    </row>
    <row r="758" spans="1:18" x14ac:dyDescent="0.2">
      <c r="A758">
        <v>244034</v>
      </c>
      <c r="B758" s="2">
        <v>45413</v>
      </c>
      <c r="C758" t="s">
        <v>65</v>
      </c>
      <c r="D758" t="s">
        <v>66</v>
      </c>
      <c r="E758" t="s">
        <v>8</v>
      </c>
      <c r="F758" t="s">
        <v>9</v>
      </c>
      <c r="G758" t="s">
        <v>11</v>
      </c>
      <c r="H758" t="s">
        <v>67</v>
      </c>
      <c r="I758" t="s">
        <v>1011</v>
      </c>
      <c r="J758" t="s">
        <v>801</v>
      </c>
      <c r="K758" t="s">
        <v>802</v>
      </c>
      <c r="L758" t="s">
        <v>70</v>
      </c>
      <c r="N758">
        <f t="shared" si="55"/>
        <v>18</v>
      </c>
      <c r="O758">
        <f t="shared" si="56"/>
        <v>5</v>
      </c>
      <c r="P758" t="str">
        <f t="shared" si="57"/>
        <v>Observed Better</v>
      </c>
      <c r="Q758" t="str">
        <f t="shared" si="58"/>
        <v>May</v>
      </c>
      <c r="R758" t="str">
        <f t="shared" si="59"/>
        <v>Week 18</v>
      </c>
    </row>
    <row r="759" spans="1:18" x14ac:dyDescent="0.2">
      <c r="A759">
        <v>244035</v>
      </c>
      <c r="B759" s="2">
        <v>45413</v>
      </c>
      <c r="C759" t="s">
        <v>65</v>
      </c>
      <c r="D759" t="s">
        <v>66</v>
      </c>
      <c r="E759" t="s">
        <v>20</v>
      </c>
      <c r="F759" t="s">
        <v>10</v>
      </c>
      <c r="G759" t="s">
        <v>23</v>
      </c>
      <c r="H759" t="s">
        <v>67</v>
      </c>
      <c r="I759" t="s">
        <v>1012</v>
      </c>
      <c r="J759" t="s">
        <v>801</v>
      </c>
      <c r="K759" t="s">
        <v>802</v>
      </c>
      <c r="L759" t="s">
        <v>70</v>
      </c>
      <c r="N759">
        <f t="shared" si="55"/>
        <v>18</v>
      </c>
      <c r="O759">
        <f t="shared" si="56"/>
        <v>5</v>
      </c>
      <c r="P759" t="str">
        <f t="shared" si="57"/>
        <v>Observed Better</v>
      </c>
      <c r="Q759" t="str">
        <f t="shared" si="58"/>
        <v>May</v>
      </c>
      <c r="R759" t="str">
        <f t="shared" si="59"/>
        <v>Week 18</v>
      </c>
    </row>
    <row r="760" spans="1:18" x14ac:dyDescent="0.2">
      <c r="A760">
        <v>244036</v>
      </c>
      <c r="B760" s="2">
        <v>45413</v>
      </c>
      <c r="C760" t="s">
        <v>65</v>
      </c>
      <c r="D760" t="s">
        <v>66</v>
      </c>
      <c r="E760" t="s">
        <v>20</v>
      </c>
      <c r="F760" t="s">
        <v>10</v>
      </c>
      <c r="G760" t="s">
        <v>23</v>
      </c>
      <c r="H760" t="s">
        <v>67</v>
      </c>
      <c r="I760" t="s">
        <v>1012</v>
      </c>
      <c r="J760" t="s">
        <v>801</v>
      </c>
      <c r="K760" t="s">
        <v>802</v>
      </c>
      <c r="L760" t="s">
        <v>70</v>
      </c>
      <c r="N760">
        <f t="shared" si="55"/>
        <v>18</v>
      </c>
      <c r="O760">
        <f t="shared" si="56"/>
        <v>5</v>
      </c>
      <c r="P760" t="str">
        <f t="shared" si="57"/>
        <v>Observed Better</v>
      </c>
      <c r="Q760" t="str">
        <f t="shared" si="58"/>
        <v>May</v>
      </c>
      <c r="R760" t="str">
        <f t="shared" si="59"/>
        <v>Week 18</v>
      </c>
    </row>
    <row r="761" spans="1:18" x14ac:dyDescent="0.2">
      <c r="A761">
        <v>244037</v>
      </c>
      <c r="B761" s="2">
        <v>45413</v>
      </c>
      <c r="C761" t="s">
        <v>65</v>
      </c>
      <c r="D761" t="s">
        <v>66</v>
      </c>
      <c r="E761" t="s">
        <v>20</v>
      </c>
      <c r="F761" t="s">
        <v>10</v>
      </c>
      <c r="G761" t="s">
        <v>23</v>
      </c>
      <c r="H761" t="s">
        <v>67</v>
      </c>
      <c r="I761" t="s">
        <v>1013</v>
      </c>
      <c r="J761" t="s">
        <v>801</v>
      </c>
      <c r="K761" t="s">
        <v>802</v>
      </c>
      <c r="L761" t="s">
        <v>70</v>
      </c>
      <c r="N761">
        <f t="shared" si="55"/>
        <v>18</v>
      </c>
      <c r="O761">
        <f t="shared" si="56"/>
        <v>5</v>
      </c>
      <c r="P761" t="str">
        <f t="shared" si="57"/>
        <v>Observed Better</v>
      </c>
      <c r="Q761" t="str">
        <f t="shared" si="58"/>
        <v>May</v>
      </c>
      <c r="R761" t="str">
        <f t="shared" si="59"/>
        <v>Week 18</v>
      </c>
    </row>
    <row r="762" spans="1:18" x14ac:dyDescent="0.2">
      <c r="A762">
        <v>244040</v>
      </c>
      <c r="B762" s="2">
        <v>45413</v>
      </c>
      <c r="C762" t="s">
        <v>65</v>
      </c>
      <c r="D762" t="s">
        <v>66</v>
      </c>
      <c r="E762" t="s">
        <v>8</v>
      </c>
      <c r="F762" t="s">
        <v>9</v>
      </c>
      <c r="G762" t="s">
        <v>528</v>
      </c>
      <c r="H762" t="s">
        <v>67</v>
      </c>
      <c r="I762" t="s">
        <v>1014</v>
      </c>
      <c r="J762" t="s">
        <v>34</v>
      </c>
      <c r="K762" t="s">
        <v>295</v>
      </c>
      <c r="L762" t="s">
        <v>77</v>
      </c>
      <c r="M762" t="s">
        <v>357</v>
      </c>
      <c r="N762">
        <f t="shared" si="55"/>
        <v>18</v>
      </c>
      <c r="O762">
        <f t="shared" si="56"/>
        <v>5</v>
      </c>
      <c r="P762" t="str">
        <f t="shared" si="57"/>
        <v>Provided Guidance</v>
      </c>
      <c r="Q762" t="str">
        <f t="shared" si="58"/>
        <v>May</v>
      </c>
      <c r="R762" t="str">
        <f t="shared" si="59"/>
        <v>Week 18</v>
      </c>
    </row>
    <row r="763" spans="1:18" x14ac:dyDescent="0.2">
      <c r="A763">
        <v>244041</v>
      </c>
      <c r="B763" s="2">
        <v>45413</v>
      </c>
      <c r="C763" t="s">
        <v>65</v>
      </c>
      <c r="D763" t="s">
        <v>66</v>
      </c>
      <c r="E763" t="s">
        <v>20</v>
      </c>
      <c r="F763" t="s">
        <v>235</v>
      </c>
      <c r="H763" t="s">
        <v>67</v>
      </c>
      <c r="I763" t="s">
        <v>1015</v>
      </c>
      <c r="J763" t="s">
        <v>455</v>
      </c>
      <c r="K763" t="s">
        <v>456</v>
      </c>
      <c r="L763" t="s">
        <v>70</v>
      </c>
      <c r="N763">
        <f t="shared" si="55"/>
        <v>18</v>
      </c>
      <c r="O763">
        <f t="shared" si="56"/>
        <v>5</v>
      </c>
      <c r="P763" t="str">
        <f t="shared" si="57"/>
        <v>Observed Better</v>
      </c>
      <c r="Q763" t="str">
        <f t="shared" si="58"/>
        <v>May</v>
      </c>
      <c r="R763" t="str">
        <f t="shared" si="59"/>
        <v>Week 18</v>
      </c>
    </row>
    <row r="764" spans="1:18" x14ac:dyDescent="0.2">
      <c r="A764">
        <v>244044</v>
      </c>
      <c r="B764" s="2">
        <v>45413</v>
      </c>
      <c r="C764" t="s">
        <v>65</v>
      </c>
      <c r="D764" t="s">
        <v>66</v>
      </c>
      <c r="E764" t="s">
        <v>8</v>
      </c>
      <c r="F764" t="s">
        <v>9</v>
      </c>
      <c r="G764" t="s">
        <v>203</v>
      </c>
      <c r="H764" t="s">
        <v>67</v>
      </c>
      <c r="I764" t="s">
        <v>1016</v>
      </c>
      <c r="J764" t="s">
        <v>997</v>
      </c>
      <c r="K764" t="s">
        <v>998</v>
      </c>
      <c r="L764" t="s">
        <v>70</v>
      </c>
      <c r="N764">
        <f t="shared" si="55"/>
        <v>18</v>
      </c>
      <c r="O764">
        <f t="shared" si="56"/>
        <v>5</v>
      </c>
      <c r="P764" t="str">
        <f t="shared" si="57"/>
        <v>Observed Better</v>
      </c>
      <c r="Q764" t="str">
        <f t="shared" si="58"/>
        <v>May</v>
      </c>
      <c r="R764" t="str">
        <f t="shared" si="59"/>
        <v>Week 18</v>
      </c>
    </row>
    <row r="765" spans="1:18" x14ac:dyDescent="0.2">
      <c r="A765">
        <v>244045</v>
      </c>
      <c r="B765" s="2">
        <v>45414</v>
      </c>
      <c r="C765" t="s">
        <v>65</v>
      </c>
      <c r="D765" t="s">
        <v>66</v>
      </c>
      <c r="E765" t="s">
        <v>24</v>
      </c>
      <c r="F765" t="s">
        <v>10</v>
      </c>
      <c r="G765" t="s">
        <v>26</v>
      </c>
      <c r="H765" t="s">
        <v>67</v>
      </c>
      <c r="I765" t="s">
        <v>1017</v>
      </c>
      <c r="J765" t="s">
        <v>580</v>
      </c>
      <c r="K765" t="s">
        <v>581</v>
      </c>
      <c r="L765" t="s">
        <v>70</v>
      </c>
      <c r="N765">
        <f t="shared" si="55"/>
        <v>18</v>
      </c>
      <c r="O765">
        <f t="shared" si="56"/>
        <v>5</v>
      </c>
      <c r="P765" t="str">
        <f t="shared" si="57"/>
        <v>Observed Better</v>
      </c>
      <c r="Q765" t="str">
        <f t="shared" si="58"/>
        <v>May</v>
      </c>
      <c r="R765" t="str">
        <f t="shared" si="59"/>
        <v>Week 18</v>
      </c>
    </row>
    <row r="766" spans="1:18" x14ac:dyDescent="0.2">
      <c r="A766">
        <v>244046</v>
      </c>
      <c r="B766" s="2">
        <v>45414</v>
      </c>
      <c r="C766" t="s">
        <v>65</v>
      </c>
      <c r="D766" t="s">
        <v>66</v>
      </c>
      <c r="E766" t="s">
        <v>8</v>
      </c>
      <c r="F766" t="s">
        <v>427</v>
      </c>
      <c r="G766" t="s">
        <v>428</v>
      </c>
      <c r="H766" t="s">
        <v>67</v>
      </c>
      <c r="I766" t="s">
        <v>1018</v>
      </c>
      <c r="J766" t="s">
        <v>772</v>
      </c>
      <c r="K766" t="s">
        <v>773</v>
      </c>
      <c r="L766" t="s">
        <v>70</v>
      </c>
      <c r="N766">
        <f t="shared" si="55"/>
        <v>18</v>
      </c>
      <c r="O766">
        <f t="shared" si="56"/>
        <v>5</v>
      </c>
      <c r="P766" t="str">
        <f t="shared" si="57"/>
        <v>Observed Better</v>
      </c>
      <c r="Q766" t="str">
        <f t="shared" si="58"/>
        <v>May</v>
      </c>
      <c r="R766" t="str">
        <f t="shared" si="59"/>
        <v>Week 18</v>
      </c>
    </row>
    <row r="767" spans="1:18" x14ac:dyDescent="0.2">
      <c r="A767">
        <v>244047</v>
      </c>
      <c r="B767" s="2">
        <v>45414</v>
      </c>
      <c r="C767" t="s">
        <v>65</v>
      </c>
      <c r="D767" t="s">
        <v>66</v>
      </c>
      <c r="E767" t="s">
        <v>11</v>
      </c>
      <c r="F767" t="s">
        <v>12</v>
      </c>
      <c r="G767" t="s">
        <v>15</v>
      </c>
      <c r="H767" t="s">
        <v>67</v>
      </c>
      <c r="I767" t="s">
        <v>1019</v>
      </c>
      <c r="J767" t="s">
        <v>772</v>
      </c>
      <c r="K767" t="s">
        <v>773</v>
      </c>
      <c r="L767" t="s">
        <v>77</v>
      </c>
      <c r="N767">
        <f t="shared" si="55"/>
        <v>18</v>
      </c>
      <c r="O767">
        <f t="shared" si="56"/>
        <v>5</v>
      </c>
      <c r="P767" t="str">
        <f t="shared" si="57"/>
        <v>Provided Guidance</v>
      </c>
      <c r="Q767" t="str">
        <f t="shared" si="58"/>
        <v>May</v>
      </c>
      <c r="R767" t="str">
        <f t="shared" si="59"/>
        <v>Week 18</v>
      </c>
    </row>
    <row r="768" spans="1:18" x14ac:dyDescent="0.2">
      <c r="A768">
        <v>244048</v>
      </c>
      <c r="B768" s="2">
        <v>45414</v>
      </c>
      <c r="C768" t="s">
        <v>65</v>
      </c>
      <c r="D768" t="s">
        <v>66</v>
      </c>
      <c r="E768" t="s">
        <v>24</v>
      </c>
      <c r="F768" t="s">
        <v>10</v>
      </c>
      <c r="G768" t="s">
        <v>26</v>
      </c>
      <c r="H768" t="s">
        <v>67</v>
      </c>
      <c r="I768" t="s">
        <v>1020</v>
      </c>
      <c r="J768" t="s">
        <v>997</v>
      </c>
      <c r="K768" t="s">
        <v>998</v>
      </c>
      <c r="L768" t="s">
        <v>77</v>
      </c>
      <c r="N768">
        <f t="shared" si="55"/>
        <v>18</v>
      </c>
      <c r="O768">
        <f t="shared" si="56"/>
        <v>5</v>
      </c>
      <c r="P768" t="str">
        <f t="shared" si="57"/>
        <v>Provided Guidance</v>
      </c>
      <c r="Q768" t="str">
        <f t="shared" si="58"/>
        <v>May</v>
      </c>
      <c r="R768" t="str">
        <f t="shared" si="59"/>
        <v>Week 18</v>
      </c>
    </row>
    <row r="769" spans="1:18" x14ac:dyDescent="0.2">
      <c r="A769">
        <v>244049</v>
      </c>
      <c r="B769" s="2">
        <v>45414</v>
      </c>
      <c r="C769" t="s">
        <v>65</v>
      </c>
      <c r="D769" t="s">
        <v>66</v>
      </c>
      <c r="E769" t="s">
        <v>8</v>
      </c>
      <c r="F769" t="s">
        <v>9</v>
      </c>
      <c r="G769" t="s">
        <v>203</v>
      </c>
      <c r="H769" t="s">
        <v>67</v>
      </c>
      <c r="I769" t="s">
        <v>1021</v>
      </c>
      <c r="J769" t="s">
        <v>39</v>
      </c>
      <c r="K769" t="s">
        <v>244</v>
      </c>
      <c r="L769" t="s">
        <v>77</v>
      </c>
      <c r="N769">
        <f t="shared" si="55"/>
        <v>18</v>
      </c>
      <c r="O769">
        <f t="shared" si="56"/>
        <v>5</v>
      </c>
      <c r="P769" t="str">
        <f t="shared" si="57"/>
        <v>Provided Guidance</v>
      </c>
      <c r="Q769" t="str">
        <f t="shared" si="58"/>
        <v>May</v>
      </c>
      <c r="R769" t="str">
        <f t="shared" si="59"/>
        <v>Week 18</v>
      </c>
    </row>
    <row r="770" spans="1:18" x14ac:dyDescent="0.2">
      <c r="A770">
        <v>244050</v>
      </c>
      <c r="B770" s="2">
        <v>45414</v>
      </c>
      <c r="C770" t="s">
        <v>65</v>
      </c>
      <c r="D770" t="s">
        <v>66</v>
      </c>
      <c r="E770" t="s">
        <v>20</v>
      </c>
      <c r="F770" t="s">
        <v>21</v>
      </c>
      <c r="G770" t="s">
        <v>22</v>
      </c>
      <c r="H770" t="s">
        <v>67</v>
      </c>
      <c r="I770" t="s">
        <v>1022</v>
      </c>
      <c r="J770" t="s">
        <v>39</v>
      </c>
      <c r="K770" t="s">
        <v>244</v>
      </c>
      <c r="L770" t="s">
        <v>70</v>
      </c>
      <c r="N770">
        <f t="shared" ref="N770:N833" si="60">IF(ISBLANK(B770)," ",WEEKNUM(B770))</f>
        <v>18</v>
      </c>
      <c r="O770">
        <f t="shared" ref="O770:O833" si="61">IF(ISBLANK(B770)," ",MONTH(B770))</f>
        <v>5</v>
      </c>
      <c r="P770" t="str">
        <f t="shared" ref="P770:P833" si="62">IF(ISNUMBER(SEARCH("provided",L770)),"Provided Guidance","Observed Better")</f>
        <v>Observed Better</v>
      </c>
      <c r="Q770" t="str">
        <f t="shared" ref="Q770:Q833" si="63">IF(O770=" "," ",TEXT(O770*29,"mmmm"))</f>
        <v>May</v>
      </c>
      <c r="R770" t="str">
        <f t="shared" ref="R770:R833" si="64">IF(N770=" "," ",_xlfn.CONCAT("Week ",+TEXT(N770,"0")))</f>
        <v>Week 18</v>
      </c>
    </row>
    <row r="771" spans="1:18" x14ac:dyDescent="0.2">
      <c r="A771">
        <v>244051</v>
      </c>
      <c r="B771" s="2">
        <v>45414</v>
      </c>
      <c r="C771" t="s">
        <v>65</v>
      </c>
      <c r="D771" t="s">
        <v>66</v>
      </c>
      <c r="E771" t="s">
        <v>8</v>
      </c>
      <c r="F771" t="s">
        <v>9</v>
      </c>
      <c r="G771" t="s">
        <v>11</v>
      </c>
      <c r="H771" t="s">
        <v>67</v>
      </c>
      <c r="I771" t="s">
        <v>1023</v>
      </c>
      <c r="J771" t="s">
        <v>110</v>
      </c>
      <c r="K771" t="s">
        <v>111</v>
      </c>
      <c r="L771" t="s">
        <v>70</v>
      </c>
      <c r="N771">
        <f t="shared" si="60"/>
        <v>18</v>
      </c>
      <c r="O771">
        <f t="shared" si="61"/>
        <v>5</v>
      </c>
      <c r="P771" t="str">
        <f t="shared" si="62"/>
        <v>Observed Better</v>
      </c>
      <c r="Q771" t="str">
        <f t="shared" si="63"/>
        <v>May</v>
      </c>
      <c r="R771" t="str">
        <f t="shared" si="64"/>
        <v>Week 18</v>
      </c>
    </row>
    <row r="772" spans="1:18" x14ac:dyDescent="0.2">
      <c r="A772">
        <v>244052</v>
      </c>
      <c r="B772" s="2">
        <v>45414</v>
      </c>
      <c r="C772" t="s">
        <v>65</v>
      </c>
      <c r="D772" t="s">
        <v>66</v>
      </c>
      <c r="E772" t="s">
        <v>8</v>
      </c>
      <c r="F772" t="s">
        <v>9</v>
      </c>
      <c r="G772" t="s">
        <v>11</v>
      </c>
      <c r="H772" t="s">
        <v>67</v>
      </c>
      <c r="I772" t="s">
        <v>1024</v>
      </c>
      <c r="J772" t="s">
        <v>110</v>
      </c>
      <c r="K772" t="s">
        <v>111</v>
      </c>
      <c r="L772" t="s">
        <v>70</v>
      </c>
      <c r="N772">
        <f t="shared" si="60"/>
        <v>18</v>
      </c>
      <c r="O772">
        <f t="shared" si="61"/>
        <v>5</v>
      </c>
      <c r="P772" t="str">
        <f t="shared" si="62"/>
        <v>Observed Better</v>
      </c>
      <c r="Q772" t="str">
        <f t="shared" si="63"/>
        <v>May</v>
      </c>
      <c r="R772" t="str">
        <f t="shared" si="64"/>
        <v>Week 18</v>
      </c>
    </row>
    <row r="773" spans="1:18" x14ac:dyDescent="0.2">
      <c r="A773">
        <v>244053</v>
      </c>
      <c r="B773" s="2">
        <v>45414</v>
      </c>
      <c r="C773" t="s">
        <v>65</v>
      </c>
      <c r="D773" t="s">
        <v>66</v>
      </c>
      <c r="E773" t="s">
        <v>8</v>
      </c>
      <c r="F773" t="s">
        <v>9</v>
      </c>
      <c r="G773" t="s">
        <v>11</v>
      </c>
      <c r="H773" t="s">
        <v>67</v>
      </c>
      <c r="I773" t="s">
        <v>1025</v>
      </c>
      <c r="J773" t="s">
        <v>110</v>
      </c>
      <c r="K773" t="s">
        <v>111</v>
      </c>
      <c r="L773" t="s">
        <v>70</v>
      </c>
      <c r="N773">
        <f t="shared" si="60"/>
        <v>18</v>
      </c>
      <c r="O773">
        <f t="shared" si="61"/>
        <v>5</v>
      </c>
      <c r="P773" t="str">
        <f t="shared" si="62"/>
        <v>Observed Better</v>
      </c>
      <c r="Q773" t="str">
        <f t="shared" si="63"/>
        <v>May</v>
      </c>
      <c r="R773" t="str">
        <f t="shared" si="64"/>
        <v>Week 18</v>
      </c>
    </row>
    <row r="774" spans="1:18" x14ac:dyDescent="0.2">
      <c r="A774">
        <v>244055</v>
      </c>
      <c r="B774" s="2">
        <v>45414</v>
      </c>
      <c r="C774" t="s">
        <v>65</v>
      </c>
      <c r="D774" t="s">
        <v>66</v>
      </c>
      <c r="E774" t="s">
        <v>8</v>
      </c>
      <c r="F774" t="s">
        <v>9</v>
      </c>
      <c r="G774" t="s">
        <v>203</v>
      </c>
      <c r="H774" t="s">
        <v>67</v>
      </c>
      <c r="I774" t="s">
        <v>1026</v>
      </c>
      <c r="J774" t="s">
        <v>455</v>
      </c>
      <c r="K774" t="s">
        <v>456</v>
      </c>
      <c r="L774" t="s">
        <v>70</v>
      </c>
      <c r="N774">
        <f t="shared" si="60"/>
        <v>18</v>
      </c>
      <c r="O774">
        <f t="shared" si="61"/>
        <v>5</v>
      </c>
      <c r="P774" t="str">
        <f t="shared" si="62"/>
        <v>Observed Better</v>
      </c>
      <c r="Q774" t="str">
        <f t="shared" si="63"/>
        <v>May</v>
      </c>
      <c r="R774" t="str">
        <f t="shared" si="64"/>
        <v>Week 18</v>
      </c>
    </row>
    <row r="775" spans="1:18" x14ac:dyDescent="0.2">
      <c r="A775">
        <v>244056</v>
      </c>
      <c r="B775" s="2">
        <v>45415</v>
      </c>
      <c r="C775" t="s">
        <v>65</v>
      </c>
      <c r="D775" t="s">
        <v>66</v>
      </c>
      <c r="E775" t="s">
        <v>20</v>
      </c>
      <c r="F775" t="s">
        <v>21</v>
      </c>
      <c r="G775" t="s">
        <v>22</v>
      </c>
      <c r="H775" t="s">
        <v>67</v>
      </c>
      <c r="I775" t="s">
        <v>1027</v>
      </c>
      <c r="J775" t="s">
        <v>41</v>
      </c>
      <c r="K775" t="s">
        <v>92</v>
      </c>
      <c r="L775" t="s">
        <v>70</v>
      </c>
      <c r="M775" t="s">
        <v>1028</v>
      </c>
      <c r="N775">
        <f t="shared" si="60"/>
        <v>18</v>
      </c>
      <c r="O775">
        <f t="shared" si="61"/>
        <v>5</v>
      </c>
      <c r="P775" t="str">
        <f t="shared" si="62"/>
        <v>Observed Better</v>
      </c>
      <c r="Q775" t="str">
        <f t="shared" si="63"/>
        <v>May</v>
      </c>
      <c r="R775" t="str">
        <f t="shared" si="64"/>
        <v>Week 18</v>
      </c>
    </row>
    <row r="776" spans="1:18" x14ac:dyDescent="0.2">
      <c r="A776">
        <v>244057</v>
      </c>
      <c r="B776" s="2">
        <v>45415</v>
      </c>
      <c r="C776" t="s">
        <v>65</v>
      </c>
      <c r="D776" t="s">
        <v>66</v>
      </c>
      <c r="E776" t="s">
        <v>20</v>
      </c>
      <c r="F776" t="s">
        <v>21</v>
      </c>
      <c r="G776" t="s">
        <v>22</v>
      </c>
      <c r="H776" t="s">
        <v>67</v>
      </c>
      <c r="I776" t="s">
        <v>1027</v>
      </c>
      <c r="J776" t="s">
        <v>41</v>
      </c>
      <c r="K776" t="s">
        <v>92</v>
      </c>
      <c r="L776" t="s">
        <v>70</v>
      </c>
      <c r="M776" t="s">
        <v>1028</v>
      </c>
      <c r="N776">
        <f t="shared" si="60"/>
        <v>18</v>
      </c>
      <c r="O776">
        <f t="shared" si="61"/>
        <v>5</v>
      </c>
      <c r="P776" t="str">
        <f t="shared" si="62"/>
        <v>Observed Better</v>
      </c>
      <c r="Q776" t="str">
        <f t="shared" si="63"/>
        <v>May</v>
      </c>
      <c r="R776" t="str">
        <f t="shared" si="64"/>
        <v>Week 18</v>
      </c>
    </row>
    <row r="777" spans="1:18" x14ac:dyDescent="0.2">
      <c r="A777">
        <v>244058</v>
      </c>
      <c r="B777" s="2">
        <v>45415</v>
      </c>
      <c r="C777" t="s">
        <v>65</v>
      </c>
      <c r="D777" t="s">
        <v>66</v>
      </c>
      <c r="E777" t="s">
        <v>20</v>
      </c>
      <c r="F777" t="s">
        <v>21</v>
      </c>
      <c r="G777" t="s">
        <v>22</v>
      </c>
      <c r="H777" t="s">
        <v>67</v>
      </c>
      <c r="I777" t="s">
        <v>1029</v>
      </c>
      <c r="J777" t="s">
        <v>41</v>
      </c>
      <c r="K777" t="s">
        <v>92</v>
      </c>
      <c r="L777" t="s">
        <v>77</v>
      </c>
      <c r="N777">
        <f t="shared" si="60"/>
        <v>18</v>
      </c>
      <c r="O777">
        <f t="shared" si="61"/>
        <v>5</v>
      </c>
      <c r="P777" t="str">
        <f t="shared" si="62"/>
        <v>Provided Guidance</v>
      </c>
      <c r="Q777" t="str">
        <f t="shared" si="63"/>
        <v>May</v>
      </c>
      <c r="R777" t="str">
        <f t="shared" si="64"/>
        <v>Week 18</v>
      </c>
    </row>
    <row r="778" spans="1:18" x14ac:dyDescent="0.2">
      <c r="A778">
        <v>244059</v>
      </c>
      <c r="B778" s="2">
        <v>45415</v>
      </c>
      <c r="C778" t="s">
        <v>65</v>
      </c>
      <c r="D778" t="s">
        <v>66</v>
      </c>
      <c r="E778" t="s">
        <v>20</v>
      </c>
      <c r="F778" t="s">
        <v>21</v>
      </c>
      <c r="G778" t="s">
        <v>22</v>
      </c>
      <c r="H778" t="s">
        <v>67</v>
      </c>
      <c r="I778" t="s">
        <v>1029</v>
      </c>
      <c r="J778" t="s">
        <v>41</v>
      </c>
      <c r="K778" t="s">
        <v>92</v>
      </c>
      <c r="L778" t="s">
        <v>77</v>
      </c>
      <c r="N778">
        <f t="shared" si="60"/>
        <v>18</v>
      </c>
      <c r="O778">
        <f t="shared" si="61"/>
        <v>5</v>
      </c>
      <c r="P778" t="str">
        <f t="shared" si="62"/>
        <v>Provided Guidance</v>
      </c>
      <c r="Q778" t="str">
        <f t="shared" si="63"/>
        <v>May</v>
      </c>
      <c r="R778" t="str">
        <f t="shared" si="64"/>
        <v>Week 18</v>
      </c>
    </row>
    <row r="779" spans="1:18" x14ac:dyDescent="0.2">
      <c r="A779">
        <v>244060</v>
      </c>
      <c r="B779" s="2">
        <v>45415</v>
      </c>
      <c r="C779" t="s">
        <v>65</v>
      </c>
      <c r="D779" t="s">
        <v>66</v>
      </c>
      <c r="E779" t="s">
        <v>11</v>
      </c>
      <c r="F779" t="s">
        <v>363</v>
      </c>
      <c r="G779" t="s">
        <v>364</v>
      </c>
      <c r="H779" t="s">
        <v>67</v>
      </c>
      <c r="I779" t="s">
        <v>1030</v>
      </c>
      <c r="J779" t="s">
        <v>41</v>
      </c>
      <c r="K779" t="s">
        <v>92</v>
      </c>
      <c r="L779" t="s">
        <v>77</v>
      </c>
      <c r="M779" t="s">
        <v>1031</v>
      </c>
      <c r="N779">
        <f t="shared" si="60"/>
        <v>18</v>
      </c>
      <c r="O779">
        <f t="shared" si="61"/>
        <v>5</v>
      </c>
      <c r="P779" t="str">
        <f t="shared" si="62"/>
        <v>Provided Guidance</v>
      </c>
      <c r="Q779" t="str">
        <f t="shared" si="63"/>
        <v>May</v>
      </c>
      <c r="R779" t="str">
        <f t="shared" si="64"/>
        <v>Week 18</v>
      </c>
    </row>
    <row r="780" spans="1:18" x14ac:dyDescent="0.2">
      <c r="A780">
        <v>244061</v>
      </c>
      <c r="B780" s="2">
        <v>45415</v>
      </c>
      <c r="C780" t="s">
        <v>65</v>
      </c>
      <c r="D780" t="s">
        <v>66</v>
      </c>
      <c r="E780" t="s">
        <v>11</v>
      </c>
      <c r="F780" t="s">
        <v>363</v>
      </c>
      <c r="G780" t="s">
        <v>364</v>
      </c>
      <c r="H780" t="s">
        <v>67</v>
      </c>
      <c r="I780" t="s">
        <v>1030</v>
      </c>
      <c r="J780" t="s">
        <v>41</v>
      </c>
      <c r="K780" t="s">
        <v>92</v>
      </c>
      <c r="L780" t="s">
        <v>77</v>
      </c>
      <c r="M780" t="s">
        <v>1031</v>
      </c>
      <c r="N780">
        <f t="shared" si="60"/>
        <v>18</v>
      </c>
      <c r="O780">
        <f t="shared" si="61"/>
        <v>5</v>
      </c>
      <c r="P780" t="str">
        <f t="shared" si="62"/>
        <v>Provided Guidance</v>
      </c>
      <c r="Q780" t="str">
        <f t="shared" si="63"/>
        <v>May</v>
      </c>
      <c r="R780" t="str">
        <f t="shared" si="64"/>
        <v>Week 18</v>
      </c>
    </row>
    <row r="781" spans="1:18" x14ac:dyDescent="0.2">
      <c r="A781">
        <v>244062</v>
      </c>
      <c r="B781" s="2">
        <v>45415</v>
      </c>
      <c r="C781" t="s">
        <v>65</v>
      </c>
      <c r="D781" t="s">
        <v>66</v>
      </c>
      <c r="E781" t="s">
        <v>20</v>
      </c>
      <c r="F781" t="s">
        <v>10</v>
      </c>
      <c r="G781" t="s">
        <v>23</v>
      </c>
      <c r="H781" t="s">
        <v>67</v>
      </c>
      <c r="I781" t="s">
        <v>1032</v>
      </c>
      <c r="J781" t="s">
        <v>35</v>
      </c>
      <c r="K781" t="s">
        <v>241</v>
      </c>
      <c r="L781" t="s">
        <v>70</v>
      </c>
      <c r="N781">
        <f t="shared" si="60"/>
        <v>18</v>
      </c>
      <c r="O781">
        <f t="shared" si="61"/>
        <v>5</v>
      </c>
      <c r="P781" t="str">
        <f t="shared" si="62"/>
        <v>Observed Better</v>
      </c>
      <c r="Q781" t="str">
        <f t="shared" si="63"/>
        <v>May</v>
      </c>
      <c r="R781" t="str">
        <f t="shared" si="64"/>
        <v>Week 18</v>
      </c>
    </row>
    <row r="782" spans="1:18" x14ac:dyDescent="0.2">
      <c r="A782">
        <v>244063</v>
      </c>
      <c r="B782" s="2">
        <v>45415</v>
      </c>
      <c r="C782" t="s">
        <v>65</v>
      </c>
      <c r="D782" t="s">
        <v>66</v>
      </c>
      <c r="E782" t="s">
        <v>8</v>
      </c>
      <c r="F782" t="s">
        <v>9</v>
      </c>
      <c r="G782" t="s">
        <v>203</v>
      </c>
      <c r="H782" t="s">
        <v>67</v>
      </c>
      <c r="I782" t="s">
        <v>1033</v>
      </c>
      <c r="J782" t="s">
        <v>35</v>
      </c>
      <c r="K782" t="s">
        <v>241</v>
      </c>
      <c r="L782" t="s">
        <v>70</v>
      </c>
      <c r="N782">
        <f t="shared" si="60"/>
        <v>18</v>
      </c>
      <c r="O782">
        <f t="shared" si="61"/>
        <v>5</v>
      </c>
      <c r="P782" t="str">
        <f t="shared" si="62"/>
        <v>Observed Better</v>
      </c>
      <c r="Q782" t="str">
        <f t="shared" si="63"/>
        <v>May</v>
      </c>
      <c r="R782" t="str">
        <f t="shared" si="64"/>
        <v>Week 18</v>
      </c>
    </row>
    <row r="783" spans="1:18" x14ac:dyDescent="0.2">
      <c r="A783">
        <v>244064</v>
      </c>
      <c r="B783" s="2">
        <v>45415</v>
      </c>
      <c r="C783" t="s">
        <v>65</v>
      </c>
      <c r="D783" t="s">
        <v>66</v>
      </c>
      <c r="E783" t="s">
        <v>20</v>
      </c>
      <c r="F783" t="s">
        <v>21</v>
      </c>
      <c r="G783" t="s">
        <v>22</v>
      </c>
      <c r="H783" t="s">
        <v>67</v>
      </c>
      <c r="I783" t="s">
        <v>1034</v>
      </c>
      <c r="J783" t="s">
        <v>35</v>
      </c>
      <c r="K783" t="s">
        <v>241</v>
      </c>
      <c r="L783" t="s">
        <v>70</v>
      </c>
      <c r="N783">
        <f t="shared" si="60"/>
        <v>18</v>
      </c>
      <c r="O783">
        <f t="shared" si="61"/>
        <v>5</v>
      </c>
      <c r="P783" t="str">
        <f t="shared" si="62"/>
        <v>Observed Better</v>
      </c>
      <c r="Q783" t="str">
        <f t="shared" si="63"/>
        <v>May</v>
      </c>
      <c r="R783" t="str">
        <f t="shared" si="64"/>
        <v>Week 18</v>
      </c>
    </row>
    <row r="784" spans="1:18" x14ac:dyDescent="0.2">
      <c r="A784">
        <v>244065</v>
      </c>
      <c r="B784" s="2">
        <v>45415</v>
      </c>
      <c r="C784" t="s">
        <v>65</v>
      </c>
      <c r="D784" t="s">
        <v>66</v>
      </c>
      <c r="E784" t="s">
        <v>8</v>
      </c>
      <c r="F784" t="s">
        <v>9</v>
      </c>
      <c r="G784" t="s">
        <v>10</v>
      </c>
      <c r="H784" t="s">
        <v>67</v>
      </c>
      <c r="I784" t="s">
        <v>1035</v>
      </c>
      <c r="J784" t="s">
        <v>34</v>
      </c>
      <c r="K784" t="s">
        <v>295</v>
      </c>
      <c r="L784" t="s">
        <v>77</v>
      </c>
      <c r="M784" t="s">
        <v>357</v>
      </c>
      <c r="N784">
        <f t="shared" si="60"/>
        <v>18</v>
      </c>
      <c r="O784">
        <f t="shared" si="61"/>
        <v>5</v>
      </c>
      <c r="P784" t="str">
        <f t="shared" si="62"/>
        <v>Provided Guidance</v>
      </c>
      <c r="Q784" t="str">
        <f t="shared" si="63"/>
        <v>May</v>
      </c>
      <c r="R784" t="str">
        <f t="shared" si="64"/>
        <v>Week 18</v>
      </c>
    </row>
    <row r="785" spans="1:18" x14ac:dyDescent="0.2">
      <c r="A785">
        <v>244066</v>
      </c>
      <c r="B785" s="2">
        <v>45415</v>
      </c>
      <c r="C785" t="s">
        <v>65</v>
      </c>
      <c r="D785" t="s">
        <v>66</v>
      </c>
      <c r="E785" t="s">
        <v>8</v>
      </c>
      <c r="F785" t="s">
        <v>9</v>
      </c>
      <c r="G785" t="s">
        <v>10</v>
      </c>
      <c r="H785" t="s">
        <v>67</v>
      </c>
      <c r="I785" t="s">
        <v>1036</v>
      </c>
      <c r="J785" t="s">
        <v>34</v>
      </c>
      <c r="K785" t="s">
        <v>295</v>
      </c>
      <c r="L785" t="s">
        <v>77</v>
      </c>
      <c r="M785" t="s">
        <v>357</v>
      </c>
      <c r="N785">
        <f t="shared" si="60"/>
        <v>18</v>
      </c>
      <c r="O785">
        <f t="shared" si="61"/>
        <v>5</v>
      </c>
      <c r="P785" t="str">
        <f t="shared" si="62"/>
        <v>Provided Guidance</v>
      </c>
      <c r="Q785" t="str">
        <f t="shared" si="63"/>
        <v>May</v>
      </c>
      <c r="R785" t="str">
        <f t="shared" si="64"/>
        <v>Week 18</v>
      </c>
    </row>
    <row r="786" spans="1:18" x14ac:dyDescent="0.2">
      <c r="A786">
        <v>244067</v>
      </c>
      <c r="B786" s="2">
        <v>45415</v>
      </c>
      <c r="C786" t="s">
        <v>65</v>
      </c>
      <c r="D786" t="s">
        <v>66</v>
      </c>
      <c r="E786" t="s">
        <v>16</v>
      </c>
      <c r="F786" t="s">
        <v>71</v>
      </c>
      <c r="H786" t="s">
        <v>67</v>
      </c>
      <c r="I786" t="s">
        <v>1037</v>
      </c>
      <c r="J786" t="s">
        <v>34</v>
      </c>
      <c r="K786" t="s">
        <v>295</v>
      </c>
      <c r="L786" t="s">
        <v>77</v>
      </c>
      <c r="M786" t="s">
        <v>357</v>
      </c>
      <c r="N786">
        <f t="shared" si="60"/>
        <v>18</v>
      </c>
      <c r="O786">
        <f t="shared" si="61"/>
        <v>5</v>
      </c>
      <c r="P786" t="str">
        <f t="shared" si="62"/>
        <v>Provided Guidance</v>
      </c>
      <c r="Q786" t="str">
        <f t="shared" si="63"/>
        <v>May</v>
      </c>
      <c r="R786" t="str">
        <f t="shared" si="64"/>
        <v>Week 18</v>
      </c>
    </row>
    <row r="787" spans="1:18" x14ac:dyDescent="0.2">
      <c r="A787">
        <v>244068</v>
      </c>
      <c r="B787" s="2">
        <v>45415</v>
      </c>
      <c r="C787" t="s">
        <v>65</v>
      </c>
      <c r="D787" t="s">
        <v>66</v>
      </c>
      <c r="E787" t="s">
        <v>11</v>
      </c>
      <c r="F787" t="s">
        <v>363</v>
      </c>
      <c r="G787" t="s">
        <v>364</v>
      </c>
      <c r="H787" t="s">
        <v>67</v>
      </c>
      <c r="I787" t="s">
        <v>1038</v>
      </c>
      <c r="J787" t="s">
        <v>759</v>
      </c>
      <c r="K787" t="s">
        <v>760</v>
      </c>
      <c r="L787" t="s">
        <v>70</v>
      </c>
      <c r="N787">
        <f t="shared" si="60"/>
        <v>18</v>
      </c>
      <c r="O787">
        <f t="shared" si="61"/>
        <v>5</v>
      </c>
      <c r="P787" t="str">
        <f t="shared" si="62"/>
        <v>Observed Better</v>
      </c>
      <c r="Q787" t="str">
        <f t="shared" si="63"/>
        <v>May</v>
      </c>
      <c r="R787" t="str">
        <f t="shared" si="64"/>
        <v>Week 18</v>
      </c>
    </row>
    <row r="788" spans="1:18" x14ac:dyDescent="0.2">
      <c r="A788">
        <v>244069</v>
      </c>
      <c r="B788" s="2">
        <v>45415</v>
      </c>
      <c r="C788" t="s">
        <v>65</v>
      </c>
      <c r="D788" t="s">
        <v>66</v>
      </c>
      <c r="E788" t="s">
        <v>11</v>
      </c>
      <c r="F788" t="s">
        <v>363</v>
      </c>
      <c r="G788" t="s">
        <v>364</v>
      </c>
      <c r="H788" t="s">
        <v>67</v>
      </c>
      <c r="I788" t="s">
        <v>1039</v>
      </c>
      <c r="J788" t="s">
        <v>759</v>
      </c>
      <c r="K788" t="s">
        <v>760</v>
      </c>
      <c r="L788" t="s">
        <v>77</v>
      </c>
      <c r="N788">
        <f t="shared" si="60"/>
        <v>18</v>
      </c>
      <c r="O788">
        <f t="shared" si="61"/>
        <v>5</v>
      </c>
      <c r="P788" t="str">
        <f t="shared" si="62"/>
        <v>Provided Guidance</v>
      </c>
      <c r="Q788" t="str">
        <f t="shared" si="63"/>
        <v>May</v>
      </c>
      <c r="R788" t="str">
        <f t="shared" si="64"/>
        <v>Week 18</v>
      </c>
    </row>
    <row r="789" spans="1:18" x14ac:dyDescent="0.2">
      <c r="A789">
        <v>244070</v>
      </c>
      <c r="B789" s="2">
        <v>45415</v>
      </c>
      <c r="C789" t="s">
        <v>65</v>
      </c>
      <c r="D789" t="s">
        <v>66</v>
      </c>
      <c r="E789" t="s">
        <v>11</v>
      </c>
      <c r="F789" t="s">
        <v>363</v>
      </c>
      <c r="G789" t="s">
        <v>364</v>
      </c>
      <c r="H789" t="s">
        <v>67</v>
      </c>
      <c r="I789" t="s">
        <v>1040</v>
      </c>
      <c r="J789" t="s">
        <v>759</v>
      </c>
      <c r="K789" t="s">
        <v>760</v>
      </c>
      <c r="L789" t="s">
        <v>70</v>
      </c>
      <c r="N789">
        <f t="shared" si="60"/>
        <v>18</v>
      </c>
      <c r="O789">
        <f t="shared" si="61"/>
        <v>5</v>
      </c>
      <c r="P789" t="str">
        <f t="shared" si="62"/>
        <v>Observed Better</v>
      </c>
      <c r="Q789" t="str">
        <f t="shared" si="63"/>
        <v>May</v>
      </c>
      <c r="R789" t="str">
        <f t="shared" si="64"/>
        <v>Week 18</v>
      </c>
    </row>
    <row r="790" spans="1:18" x14ac:dyDescent="0.2">
      <c r="A790">
        <v>244071</v>
      </c>
      <c r="B790" s="2">
        <v>45415</v>
      </c>
      <c r="C790" t="s">
        <v>65</v>
      </c>
      <c r="D790" t="s">
        <v>66</v>
      </c>
      <c r="E790" t="s">
        <v>11</v>
      </c>
      <c r="F790" t="s">
        <v>363</v>
      </c>
      <c r="G790" t="s">
        <v>364</v>
      </c>
      <c r="H790" t="s">
        <v>67</v>
      </c>
      <c r="I790" t="s">
        <v>1041</v>
      </c>
      <c r="J790" t="s">
        <v>759</v>
      </c>
      <c r="K790" t="s">
        <v>760</v>
      </c>
      <c r="L790" t="s">
        <v>70</v>
      </c>
      <c r="N790">
        <f t="shared" si="60"/>
        <v>18</v>
      </c>
      <c r="O790">
        <f t="shared" si="61"/>
        <v>5</v>
      </c>
      <c r="P790" t="str">
        <f t="shared" si="62"/>
        <v>Observed Better</v>
      </c>
      <c r="Q790" t="str">
        <f t="shared" si="63"/>
        <v>May</v>
      </c>
      <c r="R790" t="str">
        <f t="shared" si="64"/>
        <v>Week 18</v>
      </c>
    </row>
    <row r="791" spans="1:18" x14ac:dyDescent="0.2">
      <c r="A791">
        <v>244072</v>
      </c>
      <c r="B791" s="2">
        <v>45415</v>
      </c>
      <c r="C791" t="s">
        <v>65</v>
      </c>
      <c r="D791" t="s">
        <v>66</v>
      </c>
      <c r="E791" t="s">
        <v>11</v>
      </c>
      <c r="F791" t="s">
        <v>363</v>
      </c>
      <c r="G791" t="s">
        <v>364</v>
      </c>
      <c r="H791" t="s">
        <v>67</v>
      </c>
      <c r="I791" t="s">
        <v>1042</v>
      </c>
      <c r="J791" t="s">
        <v>759</v>
      </c>
      <c r="K791" t="s">
        <v>760</v>
      </c>
      <c r="L791" t="s">
        <v>77</v>
      </c>
      <c r="N791">
        <f t="shared" si="60"/>
        <v>18</v>
      </c>
      <c r="O791">
        <f t="shared" si="61"/>
        <v>5</v>
      </c>
      <c r="P791" t="str">
        <f t="shared" si="62"/>
        <v>Provided Guidance</v>
      </c>
      <c r="Q791" t="str">
        <f t="shared" si="63"/>
        <v>May</v>
      </c>
      <c r="R791" t="str">
        <f t="shared" si="64"/>
        <v>Week 18</v>
      </c>
    </row>
    <row r="792" spans="1:18" x14ac:dyDescent="0.2">
      <c r="A792">
        <v>244073</v>
      </c>
      <c r="B792" s="2">
        <v>45415</v>
      </c>
      <c r="C792" t="s">
        <v>65</v>
      </c>
      <c r="D792" t="s">
        <v>66</v>
      </c>
      <c r="E792" t="s">
        <v>11</v>
      </c>
      <c r="F792" t="s">
        <v>12</v>
      </c>
      <c r="G792" t="s">
        <v>13</v>
      </c>
      <c r="H792" t="s">
        <v>67</v>
      </c>
      <c r="I792" t="s">
        <v>1043</v>
      </c>
      <c r="J792" t="s">
        <v>455</v>
      </c>
      <c r="K792" t="s">
        <v>456</v>
      </c>
      <c r="L792" t="s">
        <v>70</v>
      </c>
      <c r="N792">
        <f t="shared" si="60"/>
        <v>18</v>
      </c>
      <c r="O792">
        <f t="shared" si="61"/>
        <v>5</v>
      </c>
      <c r="P792" t="str">
        <f t="shared" si="62"/>
        <v>Observed Better</v>
      </c>
      <c r="Q792" t="str">
        <f t="shared" si="63"/>
        <v>May</v>
      </c>
      <c r="R792" t="str">
        <f t="shared" si="64"/>
        <v>Week 18</v>
      </c>
    </row>
    <row r="793" spans="1:18" x14ac:dyDescent="0.2">
      <c r="A793">
        <v>244077</v>
      </c>
      <c r="B793" s="2">
        <v>45418</v>
      </c>
      <c r="C793" t="s">
        <v>65</v>
      </c>
      <c r="D793" t="s">
        <v>66</v>
      </c>
      <c r="E793" t="s">
        <v>11</v>
      </c>
      <c r="F793" t="s">
        <v>134</v>
      </c>
      <c r="G793" t="s">
        <v>370</v>
      </c>
      <c r="H793" t="s">
        <v>67</v>
      </c>
      <c r="I793" t="s">
        <v>1044</v>
      </c>
      <c r="J793" t="s">
        <v>1045</v>
      </c>
      <c r="K793" t="s">
        <v>1046</v>
      </c>
      <c r="L793" t="s">
        <v>70</v>
      </c>
      <c r="M793" t="s">
        <v>1047</v>
      </c>
      <c r="N793">
        <f t="shared" si="60"/>
        <v>19</v>
      </c>
      <c r="O793">
        <f t="shared" si="61"/>
        <v>5</v>
      </c>
      <c r="P793" t="str">
        <f t="shared" si="62"/>
        <v>Observed Better</v>
      </c>
      <c r="Q793" t="str">
        <f t="shared" si="63"/>
        <v>May</v>
      </c>
      <c r="R793" t="str">
        <f t="shared" si="64"/>
        <v>Week 19</v>
      </c>
    </row>
    <row r="794" spans="1:18" x14ac:dyDescent="0.2">
      <c r="A794">
        <v>244078</v>
      </c>
      <c r="B794" s="2">
        <v>45418</v>
      </c>
      <c r="C794" t="s">
        <v>65</v>
      </c>
      <c r="D794" t="s">
        <v>66</v>
      </c>
      <c r="E794" t="s">
        <v>11</v>
      </c>
      <c r="F794" t="s">
        <v>134</v>
      </c>
      <c r="G794" t="s">
        <v>370</v>
      </c>
      <c r="H794" t="s">
        <v>67</v>
      </c>
      <c r="I794" t="s">
        <v>1044</v>
      </c>
      <c r="J794" t="s">
        <v>1045</v>
      </c>
      <c r="K794" t="s">
        <v>1046</v>
      </c>
      <c r="L794" t="s">
        <v>70</v>
      </c>
      <c r="M794" t="s">
        <v>1047</v>
      </c>
      <c r="N794">
        <f t="shared" si="60"/>
        <v>19</v>
      </c>
      <c r="O794">
        <f t="shared" si="61"/>
        <v>5</v>
      </c>
      <c r="P794" t="str">
        <f t="shared" si="62"/>
        <v>Observed Better</v>
      </c>
      <c r="Q794" t="str">
        <f t="shared" si="63"/>
        <v>May</v>
      </c>
      <c r="R794" t="str">
        <f t="shared" si="64"/>
        <v>Week 19</v>
      </c>
    </row>
    <row r="795" spans="1:18" x14ac:dyDescent="0.2">
      <c r="A795">
        <v>244079</v>
      </c>
      <c r="B795" s="2">
        <v>45418</v>
      </c>
      <c r="C795" t="s">
        <v>65</v>
      </c>
      <c r="D795" t="s">
        <v>66</v>
      </c>
      <c r="E795" t="s">
        <v>11</v>
      </c>
      <c r="F795" t="s">
        <v>134</v>
      </c>
      <c r="G795" t="s">
        <v>370</v>
      </c>
      <c r="H795" t="s">
        <v>67</v>
      </c>
      <c r="I795" t="s">
        <v>1044</v>
      </c>
      <c r="J795" t="s">
        <v>1045</v>
      </c>
      <c r="K795" t="s">
        <v>1046</v>
      </c>
      <c r="L795" t="s">
        <v>70</v>
      </c>
      <c r="M795" t="s">
        <v>1047</v>
      </c>
      <c r="N795">
        <f t="shared" si="60"/>
        <v>19</v>
      </c>
      <c r="O795">
        <f t="shared" si="61"/>
        <v>5</v>
      </c>
      <c r="P795" t="str">
        <f t="shared" si="62"/>
        <v>Observed Better</v>
      </c>
      <c r="Q795" t="str">
        <f t="shared" si="63"/>
        <v>May</v>
      </c>
      <c r="R795" t="str">
        <f t="shared" si="64"/>
        <v>Week 19</v>
      </c>
    </row>
    <row r="796" spans="1:18" x14ac:dyDescent="0.2">
      <c r="A796">
        <v>244080</v>
      </c>
      <c r="B796" s="2">
        <v>45418</v>
      </c>
      <c r="C796" t="s">
        <v>65</v>
      </c>
      <c r="D796" t="s">
        <v>66</v>
      </c>
      <c r="E796" t="s">
        <v>11</v>
      </c>
      <c r="F796" t="s">
        <v>134</v>
      </c>
      <c r="G796" t="s">
        <v>135</v>
      </c>
      <c r="H796" t="s">
        <v>67</v>
      </c>
      <c r="I796" t="s">
        <v>1048</v>
      </c>
      <c r="J796" t="s">
        <v>1045</v>
      </c>
      <c r="K796" t="s">
        <v>1046</v>
      </c>
      <c r="L796" t="s">
        <v>70</v>
      </c>
      <c r="M796" t="s">
        <v>1049</v>
      </c>
      <c r="N796">
        <f t="shared" si="60"/>
        <v>19</v>
      </c>
      <c r="O796">
        <f t="shared" si="61"/>
        <v>5</v>
      </c>
      <c r="P796" t="str">
        <f t="shared" si="62"/>
        <v>Observed Better</v>
      </c>
      <c r="Q796" t="str">
        <f t="shared" si="63"/>
        <v>May</v>
      </c>
      <c r="R796" t="str">
        <f t="shared" si="64"/>
        <v>Week 19</v>
      </c>
    </row>
    <row r="797" spans="1:18" x14ac:dyDescent="0.2">
      <c r="A797">
        <v>244081</v>
      </c>
      <c r="B797" s="2">
        <v>45418</v>
      </c>
      <c r="C797" t="s">
        <v>65</v>
      </c>
      <c r="D797" t="s">
        <v>66</v>
      </c>
      <c r="E797" t="s">
        <v>11</v>
      </c>
      <c r="F797" t="s">
        <v>134</v>
      </c>
      <c r="G797" t="s">
        <v>135</v>
      </c>
      <c r="H797" t="s">
        <v>67</v>
      </c>
      <c r="I797" t="s">
        <v>1048</v>
      </c>
      <c r="J797" t="s">
        <v>1045</v>
      </c>
      <c r="K797" t="s">
        <v>1046</v>
      </c>
      <c r="L797" t="s">
        <v>70</v>
      </c>
      <c r="M797" t="s">
        <v>1049</v>
      </c>
      <c r="N797">
        <f t="shared" si="60"/>
        <v>19</v>
      </c>
      <c r="O797">
        <f t="shared" si="61"/>
        <v>5</v>
      </c>
      <c r="P797" t="str">
        <f t="shared" si="62"/>
        <v>Observed Better</v>
      </c>
      <c r="Q797" t="str">
        <f t="shared" si="63"/>
        <v>May</v>
      </c>
      <c r="R797" t="str">
        <f t="shared" si="64"/>
        <v>Week 19</v>
      </c>
    </row>
    <row r="798" spans="1:18" x14ac:dyDescent="0.2">
      <c r="A798">
        <v>244082</v>
      </c>
      <c r="B798" s="2">
        <v>45418</v>
      </c>
      <c r="C798" t="s">
        <v>65</v>
      </c>
      <c r="D798" t="s">
        <v>66</v>
      </c>
      <c r="E798" t="s">
        <v>11</v>
      </c>
      <c r="F798" t="s">
        <v>134</v>
      </c>
      <c r="G798" t="s">
        <v>135</v>
      </c>
      <c r="H798" t="s">
        <v>67</v>
      </c>
      <c r="I798" t="s">
        <v>1048</v>
      </c>
      <c r="J798" t="s">
        <v>1045</v>
      </c>
      <c r="K798" t="s">
        <v>1046</v>
      </c>
      <c r="L798" t="s">
        <v>70</v>
      </c>
      <c r="M798" t="s">
        <v>1049</v>
      </c>
      <c r="N798">
        <f t="shared" si="60"/>
        <v>19</v>
      </c>
      <c r="O798">
        <f t="shared" si="61"/>
        <v>5</v>
      </c>
      <c r="P798" t="str">
        <f t="shared" si="62"/>
        <v>Observed Better</v>
      </c>
      <c r="Q798" t="str">
        <f t="shared" si="63"/>
        <v>May</v>
      </c>
      <c r="R798" t="str">
        <f t="shared" si="64"/>
        <v>Week 19</v>
      </c>
    </row>
    <row r="799" spans="1:18" x14ac:dyDescent="0.2">
      <c r="A799">
        <v>244085</v>
      </c>
      <c r="B799" s="2">
        <v>45418</v>
      </c>
      <c r="C799" t="s">
        <v>65</v>
      </c>
      <c r="D799" t="s">
        <v>66</v>
      </c>
      <c r="E799" t="s">
        <v>11</v>
      </c>
      <c r="F799" t="s">
        <v>134</v>
      </c>
      <c r="G799" t="s">
        <v>370</v>
      </c>
      <c r="H799" t="s">
        <v>67</v>
      </c>
      <c r="I799" t="s">
        <v>1050</v>
      </c>
      <c r="J799" t="s">
        <v>222</v>
      </c>
      <c r="K799" t="s">
        <v>223</v>
      </c>
      <c r="L799" t="s">
        <v>70</v>
      </c>
      <c r="M799" t="s">
        <v>1051</v>
      </c>
      <c r="N799">
        <f t="shared" si="60"/>
        <v>19</v>
      </c>
      <c r="O799">
        <f t="shared" si="61"/>
        <v>5</v>
      </c>
      <c r="P799" t="str">
        <f t="shared" si="62"/>
        <v>Observed Better</v>
      </c>
      <c r="Q799" t="str">
        <f t="shared" si="63"/>
        <v>May</v>
      </c>
      <c r="R799" t="str">
        <f t="shared" si="64"/>
        <v>Week 19</v>
      </c>
    </row>
    <row r="800" spans="1:18" x14ac:dyDescent="0.2">
      <c r="A800">
        <v>244086</v>
      </c>
      <c r="B800" s="2">
        <v>45418</v>
      </c>
      <c r="C800" t="s">
        <v>65</v>
      </c>
      <c r="D800" t="s">
        <v>66</v>
      </c>
      <c r="E800" t="s">
        <v>24</v>
      </c>
      <c r="F800" t="s">
        <v>25</v>
      </c>
      <c r="H800" t="s">
        <v>67</v>
      </c>
      <c r="I800" t="s">
        <v>1052</v>
      </c>
      <c r="J800" t="s">
        <v>222</v>
      </c>
      <c r="K800" t="s">
        <v>223</v>
      </c>
      <c r="L800" t="s">
        <v>77</v>
      </c>
      <c r="M800" t="s">
        <v>1053</v>
      </c>
      <c r="N800">
        <f t="shared" si="60"/>
        <v>19</v>
      </c>
      <c r="O800">
        <f t="shared" si="61"/>
        <v>5</v>
      </c>
      <c r="P800" t="str">
        <f t="shared" si="62"/>
        <v>Provided Guidance</v>
      </c>
      <c r="Q800" t="str">
        <f t="shared" si="63"/>
        <v>May</v>
      </c>
      <c r="R800" t="str">
        <f t="shared" si="64"/>
        <v>Week 19</v>
      </c>
    </row>
    <row r="801" spans="1:18" x14ac:dyDescent="0.2">
      <c r="A801">
        <v>244087</v>
      </c>
      <c r="B801" s="2">
        <v>45418</v>
      </c>
      <c r="C801" t="s">
        <v>65</v>
      </c>
      <c r="D801" t="s">
        <v>66</v>
      </c>
      <c r="E801" t="s">
        <v>16</v>
      </c>
      <c r="F801" t="s">
        <v>227</v>
      </c>
      <c r="H801" t="s">
        <v>67</v>
      </c>
      <c r="I801" t="s">
        <v>1054</v>
      </c>
      <c r="J801" t="s">
        <v>222</v>
      </c>
      <c r="K801" t="s">
        <v>223</v>
      </c>
      <c r="L801" t="s">
        <v>70</v>
      </c>
      <c r="M801" t="s">
        <v>1055</v>
      </c>
      <c r="N801">
        <f t="shared" si="60"/>
        <v>19</v>
      </c>
      <c r="O801">
        <f t="shared" si="61"/>
        <v>5</v>
      </c>
      <c r="P801" t="str">
        <f t="shared" si="62"/>
        <v>Observed Better</v>
      </c>
      <c r="Q801" t="str">
        <f t="shared" si="63"/>
        <v>May</v>
      </c>
      <c r="R801" t="str">
        <f t="shared" si="64"/>
        <v>Week 19</v>
      </c>
    </row>
    <row r="802" spans="1:18" x14ac:dyDescent="0.2">
      <c r="A802">
        <v>244088</v>
      </c>
      <c r="B802" s="2">
        <v>45419</v>
      </c>
      <c r="C802" t="s">
        <v>65</v>
      </c>
      <c r="D802" t="s">
        <v>66</v>
      </c>
      <c r="E802" t="s">
        <v>24</v>
      </c>
      <c r="F802" t="s">
        <v>10</v>
      </c>
      <c r="G802" t="s">
        <v>26</v>
      </c>
      <c r="H802" t="s">
        <v>67</v>
      </c>
      <c r="I802" t="s">
        <v>1056</v>
      </c>
      <c r="J802" t="s">
        <v>580</v>
      </c>
      <c r="K802" t="s">
        <v>581</v>
      </c>
      <c r="L802" t="s">
        <v>70</v>
      </c>
      <c r="N802">
        <f t="shared" si="60"/>
        <v>19</v>
      </c>
      <c r="O802">
        <f t="shared" si="61"/>
        <v>5</v>
      </c>
      <c r="P802" t="str">
        <f t="shared" si="62"/>
        <v>Observed Better</v>
      </c>
      <c r="Q802" t="str">
        <f t="shared" si="63"/>
        <v>May</v>
      </c>
      <c r="R802" t="str">
        <f t="shared" si="64"/>
        <v>Week 19</v>
      </c>
    </row>
    <row r="803" spans="1:18" x14ac:dyDescent="0.2">
      <c r="A803">
        <v>244089</v>
      </c>
      <c r="B803" s="2">
        <v>45419</v>
      </c>
      <c r="C803" t="s">
        <v>65</v>
      </c>
      <c r="D803" t="s">
        <v>66</v>
      </c>
      <c r="E803" t="s">
        <v>8</v>
      </c>
      <c r="F803" t="s">
        <v>9</v>
      </c>
      <c r="G803" t="s">
        <v>203</v>
      </c>
      <c r="H803" t="s">
        <v>67</v>
      </c>
      <c r="I803" t="s">
        <v>1057</v>
      </c>
      <c r="J803" t="s">
        <v>580</v>
      </c>
      <c r="K803" t="s">
        <v>581</v>
      </c>
      <c r="L803" t="s">
        <v>70</v>
      </c>
      <c r="N803">
        <f t="shared" si="60"/>
        <v>19</v>
      </c>
      <c r="O803">
        <f t="shared" si="61"/>
        <v>5</v>
      </c>
      <c r="P803" t="str">
        <f t="shared" si="62"/>
        <v>Observed Better</v>
      </c>
      <c r="Q803" t="str">
        <f t="shared" si="63"/>
        <v>May</v>
      </c>
      <c r="R803" t="str">
        <f t="shared" si="64"/>
        <v>Week 19</v>
      </c>
    </row>
    <row r="804" spans="1:18" x14ac:dyDescent="0.2">
      <c r="A804">
        <v>244090</v>
      </c>
      <c r="B804" s="2">
        <v>45419</v>
      </c>
      <c r="C804" t="s">
        <v>65</v>
      </c>
      <c r="D804" t="s">
        <v>66</v>
      </c>
      <c r="E804" t="s">
        <v>11</v>
      </c>
      <c r="F804" t="s">
        <v>220</v>
      </c>
      <c r="H804" t="s">
        <v>67</v>
      </c>
      <c r="I804" t="s">
        <v>1058</v>
      </c>
      <c r="J804" t="s">
        <v>772</v>
      </c>
      <c r="K804" t="s">
        <v>773</v>
      </c>
      <c r="L804" t="s">
        <v>70</v>
      </c>
      <c r="N804">
        <f t="shared" si="60"/>
        <v>19</v>
      </c>
      <c r="O804">
        <f t="shared" si="61"/>
        <v>5</v>
      </c>
      <c r="P804" t="str">
        <f t="shared" si="62"/>
        <v>Observed Better</v>
      </c>
      <c r="Q804" t="str">
        <f t="shared" si="63"/>
        <v>May</v>
      </c>
      <c r="R804" t="str">
        <f t="shared" si="64"/>
        <v>Week 19</v>
      </c>
    </row>
    <row r="805" spans="1:18" x14ac:dyDescent="0.2">
      <c r="A805">
        <v>244092</v>
      </c>
      <c r="B805" s="2">
        <v>45419</v>
      </c>
      <c r="C805" t="s">
        <v>65</v>
      </c>
      <c r="D805" t="s">
        <v>66</v>
      </c>
      <c r="E805" t="s">
        <v>20</v>
      </c>
      <c r="F805" t="s">
        <v>21</v>
      </c>
      <c r="G805" t="s">
        <v>22</v>
      </c>
      <c r="H805" t="s">
        <v>67</v>
      </c>
      <c r="I805" t="s">
        <v>1059</v>
      </c>
      <c r="J805" t="s">
        <v>38</v>
      </c>
      <c r="K805" t="s">
        <v>97</v>
      </c>
      <c r="L805" t="s">
        <v>70</v>
      </c>
      <c r="M805" t="s">
        <v>1060</v>
      </c>
      <c r="N805">
        <f t="shared" si="60"/>
        <v>19</v>
      </c>
      <c r="O805">
        <f t="shared" si="61"/>
        <v>5</v>
      </c>
      <c r="P805" t="str">
        <f t="shared" si="62"/>
        <v>Observed Better</v>
      </c>
      <c r="Q805" t="str">
        <f t="shared" si="63"/>
        <v>May</v>
      </c>
      <c r="R805" t="str">
        <f t="shared" si="64"/>
        <v>Week 19</v>
      </c>
    </row>
    <row r="806" spans="1:18" x14ac:dyDescent="0.2">
      <c r="A806">
        <v>244093</v>
      </c>
      <c r="B806" s="2">
        <v>45419</v>
      </c>
      <c r="C806" t="s">
        <v>65</v>
      </c>
      <c r="D806" t="s">
        <v>66</v>
      </c>
      <c r="E806" t="s">
        <v>20</v>
      </c>
      <c r="F806" t="s">
        <v>235</v>
      </c>
      <c r="H806" t="s">
        <v>67</v>
      </c>
      <c r="I806" t="s">
        <v>1061</v>
      </c>
      <c r="J806" t="s">
        <v>38</v>
      </c>
      <c r="K806" t="s">
        <v>97</v>
      </c>
      <c r="L806" t="s">
        <v>70</v>
      </c>
      <c r="M806" t="s">
        <v>1062</v>
      </c>
      <c r="N806">
        <f t="shared" si="60"/>
        <v>19</v>
      </c>
      <c r="O806">
        <f t="shared" si="61"/>
        <v>5</v>
      </c>
      <c r="P806" t="str">
        <f t="shared" si="62"/>
        <v>Observed Better</v>
      </c>
      <c r="Q806" t="str">
        <f t="shared" si="63"/>
        <v>May</v>
      </c>
      <c r="R806" t="str">
        <f t="shared" si="64"/>
        <v>Week 19</v>
      </c>
    </row>
    <row r="807" spans="1:18" x14ac:dyDescent="0.2">
      <c r="A807">
        <v>244094</v>
      </c>
      <c r="B807" s="2">
        <v>45419</v>
      </c>
      <c r="C807" t="s">
        <v>65</v>
      </c>
      <c r="D807" t="s">
        <v>66</v>
      </c>
      <c r="E807" t="s">
        <v>20</v>
      </c>
      <c r="F807" t="s">
        <v>10</v>
      </c>
      <c r="G807" t="s">
        <v>23</v>
      </c>
      <c r="H807" t="s">
        <v>67</v>
      </c>
      <c r="I807" t="s">
        <v>1063</v>
      </c>
      <c r="J807" t="s">
        <v>38</v>
      </c>
      <c r="K807" t="s">
        <v>97</v>
      </c>
      <c r="L807" t="s">
        <v>70</v>
      </c>
      <c r="M807" t="s">
        <v>1064</v>
      </c>
      <c r="N807">
        <f t="shared" si="60"/>
        <v>19</v>
      </c>
      <c r="O807">
        <f t="shared" si="61"/>
        <v>5</v>
      </c>
      <c r="P807" t="str">
        <f t="shared" si="62"/>
        <v>Observed Better</v>
      </c>
      <c r="Q807" t="str">
        <f t="shared" si="63"/>
        <v>May</v>
      </c>
      <c r="R807" t="str">
        <f t="shared" si="64"/>
        <v>Week 19</v>
      </c>
    </row>
    <row r="808" spans="1:18" x14ac:dyDescent="0.2">
      <c r="A808">
        <v>244095</v>
      </c>
      <c r="B808" s="2">
        <v>45419</v>
      </c>
      <c r="C808" t="s">
        <v>65</v>
      </c>
      <c r="D808" t="s">
        <v>66</v>
      </c>
      <c r="E808" t="s">
        <v>8</v>
      </c>
      <c r="F808" t="s">
        <v>9</v>
      </c>
      <c r="G808" t="s">
        <v>203</v>
      </c>
      <c r="H808" t="s">
        <v>67</v>
      </c>
      <c r="I808" t="s">
        <v>1065</v>
      </c>
      <c r="J808" t="s">
        <v>38</v>
      </c>
      <c r="K808" t="s">
        <v>97</v>
      </c>
      <c r="L808" t="s">
        <v>70</v>
      </c>
      <c r="M808" t="s">
        <v>1066</v>
      </c>
      <c r="N808">
        <f t="shared" si="60"/>
        <v>19</v>
      </c>
      <c r="O808">
        <f t="shared" si="61"/>
        <v>5</v>
      </c>
      <c r="P808" t="str">
        <f t="shared" si="62"/>
        <v>Observed Better</v>
      </c>
      <c r="Q808" t="str">
        <f t="shared" si="63"/>
        <v>May</v>
      </c>
      <c r="R808" t="str">
        <f t="shared" si="64"/>
        <v>Week 19</v>
      </c>
    </row>
    <row r="809" spans="1:18" x14ac:dyDescent="0.2">
      <c r="A809">
        <v>244096</v>
      </c>
      <c r="B809" s="2">
        <v>45419</v>
      </c>
      <c r="C809" t="s">
        <v>65</v>
      </c>
      <c r="D809" t="s">
        <v>66</v>
      </c>
      <c r="E809" t="s">
        <v>8</v>
      </c>
      <c r="F809" t="s">
        <v>427</v>
      </c>
      <c r="G809" t="s">
        <v>489</v>
      </c>
      <c r="H809" t="s">
        <v>67</v>
      </c>
      <c r="I809" t="s">
        <v>1067</v>
      </c>
      <c r="J809" t="s">
        <v>38</v>
      </c>
      <c r="K809" t="s">
        <v>97</v>
      </c>
      <c r="L809" t="s">
        <v>70</v>
      </c>
      <c r="M809" t="s">
        <v>1068</v>
      </c>
      <c r="N809">
        <f t="shared" si="60"/>
        <v>19</v>
      </c>
      <c r="O809">
        <f t="shared" si="61"/>
        <v>5</v>
      </c>
      <c r="P809" t="str">
        <f t="shared" si="62"/>
        <v>Observed Better</v>
      </c>
      <c r="Q809" t="str">
        <f t="shared" si="63"/>
        <v>May</v>
      </c>
      <c r="R809" t="str">
        <f t="shared" si="64"/>
        <v>Week 19</v>
      </c>
    </row>
    <row r="810" spans="1:18" x14ac:dyDescent="0.2">
      <c r="A810">
        <v>244097</v>
      </c>
      <c r="B810" s="2">
        <v>45419</v>
      </c>
      <c r="C810" t="s">
        <v>65</v>
      </c>
      <c r="D810" t="s">
        <v>66</v>
      </c>
      <c r="E810" t="s">
        <v>11</v>
      </c>
      <c r="F810" t="s">
        <v>134</v>
      </c>
      <c r="G810" t="s">
        <v>370</v>
      </c>
      <c r="H810" t="s">
        <v>67</v>
      </c>
      <c r="I810" t="s">
        <v>1069</v>
      </c>
      <c r="J810" t="s">
        <v>38</v>
      </c>
      <c r="K810" t="s">
        <v>97</v>
      </c>
      <c r="L810" t="s">
        <v>70</v>
      </c>
      <c r="M810" t="s">
        <v>1070</v>
      </c>
      <c r="N810">
        <f t="shared" si="60"/>
        <v>19</v>
      </c>
      <c r="O810">
        <f t="shared" si="61"/>
        <v>5</v>
      </c>
      <c r="P810" t="str">
        <f t="shared" si="62"/>
        <v>Observed Better</v>
      </c>
      <c r="Q810" t="str">
        <f t="shared" si="63"/>
        <v>May</v>
      </c>
      <c r="R810" t="str">
        <f t="shared" si="64"/>
        <v>Week 19</v>
      </c>
    </row>
    <row r="811" spans="1:18" x14ac:dyDescent="0.2">
      <c r="A811">
        <v>244098</v>
      </c>
      <c r="B811" s="2">
        <v>45419</v>
      </c>
      <c r="C811" t="s">
        <v>65</v>
      </c>
      <c r="D811" t="s">
        <v>66</v>
      </c>
      <c r="E811" t="s">
        <v>16</v>
      </c>
      <c r="F811" t="s">
        <v>94</v>
      </c>
      <c r="H811" t="s">
        <v>67</v>
      </c>
      <c r="I811" t="s">
        <v>1071</v>
      </c>
      <c r="J811" t="s">
        <v>38</v>
      </c>
      <c r="K811" t="s">
        <v>97</v>
      </c>
      <c r="L811" t="s">
        <v>70</v>
      </c>
      <c r="M811" t="s">
        <v>1072</v>
      </c>
      <c r="N811">
        <f t="shared" si="60"/>
        <v>19</v>
      </c>
      <c r="O811">
        <f t="shared" si="61"/>
        <v>5</v>
      </c>
      <c r="P811" t="str">
        <f t="shared" si="62"/>
        <v>Observed Better</v>
      </c>
      <c r="Q811" t="str">
        <f t="shared" si="63"/>
        <v>May</v>
      </c>
      <c r="R811" t="str">
        <f t="shared" si="64"/>
        <v>Week 19</v>
      </c>
    </row>
    <row r="812" spans="1:18" x14ac:dyDescent="0.2">
      <c r="A812">
        <v>244099</v>
      </c>
      <c r="B812" s="2">
        <v>45419</v>
      </c>
      <c r="C812" t="s">
        <v>65</v>
      </c>
      <c r="D812" t="s">
        <v>66</v>
      </c>
      <c r="E812" t="s">
        <v>16</v>
      </c>
      <c r="F812" t="s">
        <v>94</v>
      </c>
      <c r="H812" t="s">
        <v>67</v>
      </c>
      <c r="I812" t="s">
        <v>1073</v>
      </c>
      <c r="J812" t="s">
        <v>38</v>
      </c>
      <c r="K812" t="s">
        <v>97</v>
      </c>
      <c r="L812" t="s">
        <v>70</v>
      </c>
      <c r="M812" t="s">
        <v>1074</v>
      </c>
      <c r="N812">
        <f t="shared" si="60"/>
        <v>19</v>
      </c>
      <c r="O812">
        <f t="shared" si="61"/>
        <v>5</v>
      </c>
      <c r="P812" t="str">
        <f t="shared" si="62"/>
        <v>Observed Better</v>
      </c>
      <c r="Q812" t="str">
        <f t="shared" si="63"/>
        <v>May</v>
      </c>
      <c r="R812" t="str">
        <f t="shared" si="64"/>
        <v>Week 19</v>
      </c>
    </row>
    <row r="813" spans="1:18" x14ac:dyDescent="0.2">
      <c r="A813">
        <v>244100</v>
      </c>
      <c r="B813" s="2">
        <v>45419</v>
      </c>
      <c r="C813" t="s">
        <v>65</v>
      </c>
      <c r="D813" t="s">
        <v>66</v>
      </c>
      <c r="E813" t="s">
        <v>16</v>
      </c>
      <c r="F813" t="s">
        <v>162</v>
      </c>
      <c r="H813" t="s">
        <v>67</v>
      </c>
      <c r="I813" t="s">
        <v>1075</v>
      </c>
      <c r="J813" t="s">
        <v>38</v>
      </c>
      <c r="K813" t="s">
        <v>97</v>
      </c>
      <c r="L813" t="s">
        <v>70</v>
      </c>
      <c r="M813" t="s">
        <v>1076</v>
      </c>
      <c r="N813">
        <f t="shared" si="60"/>
        <v>19</v>
      </c>
      <c r="O813">
        <f t="shared" si="61"/>
        <v>5</v>
      </c>
      <c r="P813" t="str">
        <f t="shared" si="62"/>
        <v>Observed Better</v>
      </c>
      <c r="Q813" t="str">
        <f t="shared" si="63"/>
        <v>May</v>
      </c>
      <c r="R813" t="str">
        <f t="shared" si="64"/>
        <v>Week 19</v>
      </c>
    </row>
    <row r="814" spans="1:18" x14ac:dyDescent="0.2">
      <c r="A814">
        <v>244101</v>
      </c>
      <c r="B814" s="2">
        <v>45419</v>
      </c>
      <c r="C814" t="s">
        <v>65</v>
      </c>
      <c r="D814" t="s">
        <v>66</v>
      </c>
      <c r="E814" t="s">
        <v>16</v>
      </c>
      <c r="F814" t="s">
        <v>17</v>
      </c>
      <c r="H814" t="s">
        <v>67</v>
      </c>
      <c r="I814" t="s">
        <v>1077</v>
      </c>
      <c r="J814" t="s">
        <v>38</v>
      </c>
      <c r="K814" t="s">
        <v>97</v>
      </c>
      <c r="L814" t="s">
        <v>70</v>
      </c>
      <c r="M814" t="s">
        <v>1078</v>
      </c>
      <c r="N814">
        <f t="shared" si="60"/>
        <v>19</v>
      </c>
      <c r="O814">
        <f t="shared" si="61"/>
        <v>5</v>
      </c>
      <c r="P814" t="str">
        <f t="shared" si="62"/>
        <v>Observed Better</v>
      </c>
      <c r="Q814" t="str">
        <f t="shared" si="63"/>
        <v>May</v>
      </c>
      <c r="R814" t="str">
        <f t="shared" si="64"/>
        <v>Week 19</v>
      </c>
    </row>
    <row r="815" spans="1:18" x14ac:dyDescent="0.2">
      <c r="A815">
        <v>244102</v>
      </c>
      <c r="B815" s="2">
        <v>45420</v>
      </c>
      <c r="C815" t="s">
        <v>65</v>
      </c>
      <c r="D815" t="s">
        <v>66</v>
      </c>
      <c r="E815" t="s">
        <v>11</v>
      </c>
      <c r="F815" t="s">
        <v>134</v>
      </c>
      <c r="G815" t="s">
        <v>135</v>
      </c>
      <c r="H815" t="s">
        <v>67</v>
      </c>
      <c r="I815" t="s">
        <v>1079</v>
      </c>
      <c r="J815" t="s">
        <v>772</v>
      </c>
      <c r="K815" t="s">
        <v>773</v>
      </c>
      <c r="L815" t="s">
        <v>77</v>
      </c>
      <c r="N815">
        <f t="shared" si="60"/>
        <v>19</v>
      </c>
      <c r="O815">
        <f t="shared" si="61"/>
        <v>5</v>
      </c>
      <c r="P815" t="str">
        <f t="shared" si="62"/>
        <v>Provided Guidance</v>
      </c>
      <c r="Q815" t="str">
        <f t="shared" si="63"/>
        <v>May</v>
      </c>
      <c r="R815" t="str">
        <f t="shared" si="64"/>
        <v>Week 19</v>
      </c>
    </row>
    <row r="816" spans="1:18" x14ac:dyDescent="0.2">
      <c r="A816">
        <v>244103</v>
      </c>
      <c r="B816" s="2">
        <v>45420</v>
      </c>
      <c r="C816" t="s">
        <v>65</v>
      </c>
      <c r="D816" t="s">
        <v>66</v>
      </c>
      <c r="E816" t="s">
        <v>11</v>
      </c>
      <c r="F816" t="s">
        <v>134</v>
      </c>
      <c r="G816" t="s">
        <v>135</v>
      </c>
      <c r="H816" t="s">
        <v>67</v>
      </c>
      <c r="I816" t="s">
        <v>1080</v>
      </c>
      <c r="J816" t="s">
        <v>772</v>
      </c>
      <c r="K816" t="s">
        <v>773</v>
      </c>
      <c r="L816" t="s">
        <v>70</v>
      </c>
      <c r="N816">
        <f t="shared" si="60"/>
        <v>19</v>
      </c>
      <c r="O816">
        <f t="shared" si="61"/>
        <v>5</v>
      </c>
      <c r="P816" t="str">
        <f t="shared" si="62"/>
        <v>Observed Better</v>
      </c>
      <c r="Q816" t="str">
        <f t="shared" si="63"/>
        <v>May</v>
      </c>
      <c r="R816" t="str">
        <f t="shared" si="64"/>
        <v>Week 19</v>
      </c>
    </row>
    <row r="817" spans="1:18" x14ac:dyDescent="0.2">
      <c r="A817">
        <v>244104</v>
      </c>
      <c r="B817" s="2">
        <v>45420</v>
      </c>
      <c r="C817" t="s">
        <v>65</v>
      </c>
      <c r="D817" t="s">
        <v>66</v>
      </c>
      <c r="E817" t="s">
        <v>11</v>
      </c>
      <c r="F817" t="s">
        <v>12</v>
      </c>
      <c r="G817" t="s">
        <v>15</v>
      </c>
      <c r="H817" t="s">
        <v>67</v>
      </c>
      <c r="I817" t="s">
        <v>1081</v>
      </c>
      <c r="J817" t="s">
        <v>772</v>
      </c>
      <c r="K817" t="s">
        <v>773</v>
      </c>
      <c r="L817" t="s">
        <v>70</v>
      </c>
      <c r="N817">
        <f t="shared" si="60"/>
        <v>19</v>
      </c>
      <c r="O817">
        <f t="shared" si="61"/>
        <v>5</v>
      </c>
      <c r="P817" t="str">
        <f t="shared" si="62"/>
        <v>Observed Better</v>
      </c>
      <c r="Q817" t="str">
        <f t="shared" si="63"/>
        <v>May</v>
      </c>
      <c r="R817" t="str">
        <f t="shared" si="64"/>
        <v>Week 19</v>
      </c>
    </row>
    <row r="818" spans="1:18" x14ac:dyDescent="0.2">
      <c r="A818">
        <v>244105</v>
      </c>
      <c r="B818" s="2">
        <v>45420</v>
      </c>
      <c r="C818" t="s">
        <v>65</v>
      </c>
      <c r="D818" t="s">
        <v>66</v>
      </c>
      <c r="E818" t="s">
        <v>16</v>
      </c>
      <c r="F818" t="s">
        <v>71</v>
      </c>
      <c r="H818" t="s">
        <v>67</v>
      </c>
      <c r="I818" t="s">
        <v>1082</v>
      </c>
      <c r="J818" t="s">
        <v>772</v>
      </c>
      <c r="K818" t="s">
        <v>773</v>
      </c>
      <c r="L818" t="s">
        <v>70</v>
      </c>
      <c r="N818">
        <f t="shared" si="60"/>
        <v>19</v>
      </c>
      <c r="O818">
        <f t="shared" si="61"/>
        <v>5</v>
      </c>
      <c r="P818" t="str">
        <f t="shared" si="62"/>
        <v>Observed Better</v>
      </c>
      <c r="Q818" t="str">
        <f t="shared" si="63"/>
        <v>May</v>
      </c>
      <c r="R818" t="str">
        <f t="shared" si="64"/>
        <v>Week 19</v>
      </c>
    </row>
    <row r="819" spans="1:18" x14ac:dyDescent="0.2">
      <c r="A819">
        <v>244110</v>
      </c>
      <c r="B819" s="2">
        <v>45421</v>
      </c>
      <c r="C819" t="s">
        <v>65</v>
      </c>
      <c r="D819" t="s">
        <v>66</v>
      </c>
      <c r="E819" t="s">
        <v>11</v>
      </c>
      <c r="F819" t="s">
        <v>131</v>
      </c>
      <c r="G819" t="s">
        <v>11</v>
      </c>
      <c r="H819" t="s">
        <v>67</v>
      </c>
      <c r="I819" t="s">
        <v>1083</v>
      </c>
      <c r="J819" t="s">
        <v>997</v>
      </c>
      <c r="K819" t="s">
        <v>998</v>
      </c>
      <c r="L819" t="s">
        <v>70</v>
      </c>
      <c r="N819">
        <f t="shared" si="60"/>
        <v>19</v>
      </c>
      <c r="O819">
        <f t="shared" si="61"/>
        <v>5</v>
      </c>
      <c r="P819" t="str">
        <f t="shared" si="62"/>
        <v>Observed Better</v>
      </c>
      <c r="Q819" t="str">
        <f t="shared" si="63"/>
        <v>May</v>
      </c>
      <c r="R819" t="str">
        <f t="shared" si="64"/>
        <v>Week 19</v>
      </c>
    </row>
    <row r="820" spans="1:18" x14ac:dyDescent="0.2">
      <c r="A820">
        <v>244111</v>
      </c>
      <c r="B820" s="2">
        <v>45421</v>
      </c>
      <c r="C820" t="s">
        <v>65</v>
      </c>
      <c r="D820" t="s">
        <v>66</v>
      </c>
      <c r="E820" t="s">
        <v>11</v>
      </c>
      <c r="F820" t="s">
        <v>131</v>
      </c>
      <c r="G820" t="s">
        <v>11</v>
      </c>
      <c r="H820" t="s">
        <v>67</v>
      </c>
      <c r="I820" t="s">
        <v>1083</v>
      </c>
      <c r="J820" t="s">
        <v>997</v>
      </c>
      <c r="K820" t="s">
        <v>998</v>
      </c>
      <c r="L820" t="s">
        <v>70</v>
      </c>
      <c r="N820">
        <f t="shared" si="60"/>
        <v>19</v>
      </c>
      <c r="O820">
        <f t="shared" si="61"/>
        <v>5</v>
      </c>
      <c r="P820" t="str">
        <f t="shared" si="62"/>
        <v>Observed Better</v>
      </c>
      <c r="Q820" t="str">
        <f t="shared" si="63"/>
        <v>May</v>
      </c>
      <c r="R820" t="str">
        <f t="shared" si="64"/>
        <v>Week 19</v>
      </c>
    </row>
    <row r="821" spans="1:18" x14ac:dyDescent="0.2">
      <c r="A821">
        <v>244112</v>
      </c>
      <c r="B821" s="2">
        <v>45421</v>
      </c>
      <c r="C821" t="s">
        <v>65</v>
      </c>
      <c r="D821" t="s">
        <v>66</v>
      </c>
      <c r="E821" t="s">
        <v>11</v>
      </c>
      <c r="F821" t="s">
        <v>131</v>
      </c>
      <c r="G821" t="s">
        <v>11</v>
      </c>
      <c r="H821" t="s">
        <v>67</v>
      </c>
      <c r="I821" t="s">
        <v>1083</v>
      </c>
      <c r="J821" t="s">
        <v>997</v>
      </c>
      <c r="K821" t="s">
        <v>998</v>
      </c>
      <c r="L821" t="s">
        <v>70</v>
      </c>
      <c r="N821">
        <f t="shared" si="60"/>
        <v>19</v>
      </c>
      <c r="O821">
        <f t="shared" si="61"/>
        <v>5</v>
      </c>
      <c r="P821" t="str">
        <f t="shared" si="62"/>
        <v>Observed Better</v>
      </c>
      <c r="Q821" t="str">
        <f t="shared" si="63"/>
        <v>May</v>
      </c>
      <c r="R821" t="str">
        <f t="shared" si="64"/>
        <v>Week 19</v>
      </c>
    </row>
    <row r="822" spans="1:18" x14ac:dyDescent="0.2">
      <c r="A822">
        <v>244113</v>
      </c>
      <c r="B822" s="2">
        <v>45421</v>
      </c>
      <c r="C822" t="s">
        <v>65</v>
      </c>
      <c r="D822" t="s">
        <v>66</v>
      </c>
      <c r="E822" t="s">
        <v>8</v>
      </c>
      <c r="F822" t="s">
        <v>9</v>
      </c>
      <c r="G822" t="s">
        <v>203</v>
      </c>
      <c r="H822" t="s">
        <v>67</v>
      </c>
      <c r="I822" t="s">
        <v>1084</v>
      </c>
      <c r="J822" t="s">
        <v>997</v>
      </c>
      <c r="K822" t="s">
        <v>998</v>
      </c>
      <c r="L822" t="s">
        <v>70</v>
      </c>
      <c r="N822">
        <f t="shared" si="60"/>
        <v>19</v>
      </c>
      <c r="O822">
        <f t="shared" si="61"/>
        <v>5</v>
      </c>
      <c r="P822" t="str">
        <f t="shared" si="62"/>
        <v>Observed Better</v>
      </c>
      <c r="Q822" t="str">
        <f t="shared" si="63"/>
        <v>May</v>
      </c>
      <c r="R822" t="str">
        <f t="shared" si="64"/>
        <v>Week 19</v>
      </c>
    </row>
    <row r="823" spans="1:18" x14ac:dyDescent="0.2">
      <c r="A823">
        <v>244114</v>
      </c>
      <c r="B823" s="2">
        <v>45421</v>
      </c>
      <c r="C823" t="s">
        <v>65</v>
      </c>
      <c r="D823" t="s">
        <v>66</v>
      </c>
      <c r="E823" t="s">
        <v>8</v>
      </c>
      <c r="F823" t="s">
        <v>9</v>
      </c>
      <c r="G823" t="s">
        <v>203</v>
      </c>
      <c r="H823" t="s">
        <v>67</v>
      </c>
      <c r="I823" t="s">
        <v>1084</v>
      </c>
      <c r="J823" t="s">
        <v>997</v>
      </c>
      <c r="K823" t="s">
        <v>998</v>
      </c>
      <c r="L823" t="s">
        <v>70</v>
      </c>
      <c r="N823">
        <f t="shared" si="60"/>
        <v>19</v>
      </c>
      <c r="O823">
        <f t="shared" si="61"/>
        <v>5</v>
      </c>
      <c r="P823" t="str">
        <f t="shared" si="62"/>
        <v>Observed Better</v>
      </c>
      <c r="Q823" t="str">
        <f t="shared" si="63"/>
        <v>May</v>
      </c>
      <c r="R823" t="str">
        <f t="shared" si="64"/>
        <v>Week 19</v>
      </c>
    </row>
    <row r="824" spans="1:18" x14ac:dyDescent="0.2">
      <c r="A824">
        <v>244115</v>
      </c>
      <c r="B824" s="2">
        <v>45421</v>
      </c>
      <c r="C824" t="s">
        <v>65</v>
      </c>
      <c r="D824" t="s">
        <v>66</v>
      </c>
      <c r="E824" t="s">
        <v>8</v>
      </c>
      <c r="F824" t="s">
        <v>9</v>
      </c>
      <c r="G824" t="s">
        <v>203</v>
      </c>
      <c r="H824" t="s">
        <v>67</v>
      </c>
      <c r="I824" t="s">
        <v>1084</v>
      </c>
      <c r="J824" t="s">
        <v>997</v>
      </c>
      <c r="K824" t="s">
        <v>998</v>
      </c>
      <c r="L824" t="s">
        <v>70</v>
      </c>
      <c r="N824">
        <f t="shared" si="60"/>
        <v>19</v>
      </c>
      <c r="O824">
        <f t="shared" si="61"/>
        <v>5</v>
      </c>
      <c r="P824" t="str">
        <f t="shared" si="62"/>
        <v>Observed Better</v>
      </c>
      <c r="Q824" t="str">
        <f t="shared" si="63"/>
        <v>May</v>
      </c>
      <c r="R824" t="str">
        <f t="shared" si="64"/>
        <v>Week 19</v>
      </c>
    </row>
    <row r="825" spans="1:18" x14ac:dyDescent="0.2">
      <c r="A825">
        <v>244116</v>
      </c>
      <c r="B825" s="2">
        <v>45421</v>
      </c>
      <c r="C825" t="s">
        <v>65</v>
      </c>
      <c r="D825" t="s">
        <v>66</v>
      </c>
      <c r="E825" t="s">
        <v>8</v>
      </c>
      <c r="F825" t="s">
        <v>9</v>
      </c>
      <c r="G825" t="s">
        <v>203</v>
      </c>
      <c r="H825" t="s">
        <v>67</v>
      </c>
      <c r="I825" t="s">
        <v>1085</v>
      </c>
      <c r="J825" t="s">
        <v>997</v>
      </c>
      <c r="K825" t="s">
        <v>998</v>
      </c>
      <c r="L825" t="s">
        <v>70</v>
      </c>
      <c r="N825">
        <f t="shared" si="60"/>
        <v>19</v>
      </c>
      <c r="O825">
        <f t="shared" si="61"/>
        <v>5</v>
      </c>
      <c r="P825" t="str">
        <f t="shared" si="62"/>
        <v>Observed Better</v>
      </c>
      <c r="Q825" t="str">
        <f t="shared" si="63"/>
        <v>May</v>
      </c>
      <c r="R825" t="str">
        <f t="shared" si="64"/>
        <v>Week 19</v>
      </c>
    </row>
    <row r="826" spans="1:18" x14ac:dyDescent="0.2">
      <c r="A826">
        <v>244117</v>
      </c>
      <c r="B826" s="2">
        <v>45421</v>
      </c>
      <c r="C826" t="s">
        <v>65</v>
      </c>
      <c r="D826" t="s">
        <v>66</v>
      </c>
      <c r="E826" t="s">
        <v>8</v>
      </c>
      <c r="F826" t="s">
        <v>9</v>
      </c>
      <c r="G826" t="s">
        <v>203</v>
      </c>
      <c r="H826" t="s">
        <v>67</v>
      </c>
      <c r="I826" t="s">
        <v>1085</v>
      </c>
      <c r="J826" t="s">
        <v>997</v>
      </c>
      <c r="K826" t="s">
        <v>998</v>
      </c>
      <c r="L826" t="s">
        <v>70</v>
      </c>
      <c r="N826">
        <f t="shared" si="60"/>
        <v>19</v>
      </c>
      <c r="O826">
        <f t="shared" si="61"/>
        <v>5</v>
      </c>
      <c r="P826" t="str">
        <f t="shared" si="62"/>
        <v>Observed Better</v>
      </c>
      <c r="Q826" t="str">
        <f t="shared" si="63"/>
        <v>May</v>
      </c>
      <c r="R826" t="str">
        <f t="shared" si="64"/>
        <v>Week 19</v>
      </c>
    </row>
    <row r="827" spans="1:18" x14ac:dyDescent="0.2">
      <c r="A827">
        <v>244118</v>
      </c>
      <c r="B827" s="2">
        <v>45421</v>
      </c>
      <c r="C827" t="s">
        <v>65</v>
      </c>
      <c r="D827" t="s">
        <v>66</v>
      </c>
      <c r="E827" t="s">
        <v>8</v>
      </c>
      <c r="F827" t="s">
        <v>9</v>
      </c>
      <c r="G827" t="s">
        <v>203</v>
      </c>
      <c r="H827" t="s">
        <v>67</v>
      </c>
      <c r="I827" t="s">
        <v>1085</v>
      </c>
      <c r="J827" t="s">
        <v>997</v>
      </c>
      <c r="K827" t="s">
        <v>998</v>
      </c>
      <c r="L827" t="s">
        <v>70</v>
      </c>
      <c r="N827">
        <f t="shared" si="60"/>
        <v>19</v>
      </c>
      <c r="O827">
        <f t="shared" si="61"/>
        <v>5</v>
      </c>
      <c r="P827" t="str">
        <f t="shared" si="62"/>
        <v>Observed Better</v>
      </c>
      <c r="Q827" t="str">
        <f t="shared" si="63"/>
        <v>May</v>
      </c>
      <c r="R827" t="str">
        <f t="shared" si="64"/>
        <v>Week 19</v>
      </c>
    </row>
    <row r="828" spans="1:18" x14ac:dyDescent="0.2">
      <c r="A828">
        <v>244119</v>
      </c>
      <c r="B828" s="2">
        <v>45421</v>
      </c>
      <c r="C828" t="s">
        <v>65</v>
      </c>
      <c r="D828" t="s">
        <v>66</v>
      </c>
      <c r="E828" t="s">
        <v>16</v>
      </c>
      <c r="F828" t="s">
        <v>227</v>
      </c>
      <c r="H828" t="s">
        <v>67</v>
      </c>
      <c r="I828" t="s">
        <v>1086</v>
      </c>
      <c r="J828" t="s">
        <v>892</v>
      </c>
      <c r="K828" t="s">
        <v>893</v>
      </c>
      <c r="L828" t="s">
        <v>70</v>
      </c>
      <c r="M828" t="s">
        <v>1087</v>
      </c>
      <c r="N828">
        <f t="shared" si="60"/>
        <v>19</v>
      </c>
      <c r="O828">
        <f t="shared" si="61"/>
        <v>5</v>
      </c>
      <c r="P828" t="str">
        <f t="shared" si="62"/>
        <v>Observed Better</v>
      </c>
      <c r="Q828" t="str">
        <f t="shared" si="63"/>
        <v>May</v>
      </c>
      <c r="R828" t="str">
        <f t="shared" si="64"/>
        <v>Week 19</v>
      </c>
    </row>
    <row r="829" spans="1:18" x14ac:dyDescent="0.2">
      <c r="A829">
        <v>244120</v>
      </c>
      <c r="B829" s="2">
        <v>45421</v>
      </c>
      <c r="C829" t="s">
        <v>65</v>
      </c>
      <c r="D829" t="s">
        <v>66</v>
      </c>
      <c r="E829" t="s">
        <v>16</v>
      </c>
      <c r="F829" t="s">
        <v>227</v>
      </c>
      <c r="H829" t="s">
        <v>67</v>
      </c>
      <c r="I829" t="s">
        <v>1088</v>
      </c>
      <c r="J829" t="s">
        <v>892</v>
      </c>
      <c r="K829" t="s">
        <v>893</v>
      </c>
      <c r="L829" t="s">
        <v>70</v>
      </c>
      <c r="M829" t="s">
        <v>1089</v>
      </c>
      <c r="N829">
        <f t="shared" si="60"/>
        <v>19</v>
      </c>
      <c r="O829">
        <f t="shared" si="61"/>
        <v>5</v>
      </c>
      <c r="P829" t="str">
        <f t="shared" si="62"/>
        <v>Observed Better</v>
      </c>
      <c r="Q829" t="str">
        <f t="shared" si="63"/>
        <v>May</v>
      </c>
      <c r="R829" t="str">
        <f t="shared" si="64"/>
        <v>Week 19</v>
      </c>
    </row>
    <row r="830" spans="1:18" x14ac:dyDescent="0.2">
      <c r="A830">
        <v>244121</v>
      </c>
      <c r="B830" s="2">
        <v>45421</v>
      </c>
      <c r="C830" t="s">
        <v>65</v>
      </c>
      <c r="D830" t="s">
        <v>66</v>
      </c>
      <c r="E830" t="s">
        <v>16</v>
      </c>
      <c r="F830" t="s">
        <v>227</v>
      </c>
      <c r="H830" t="s">
        <v>67</v>
      </c>
      <c r="I830" t="s">
        <v>1090</v>
      </c>
      <c r="J830" t="s">
        <v>892</v>
      </c>
      <c r="K830" t="s">
        <v>893</v>
      </c>
      <c r="L830" t="s">
        <v>70</v>
      </c>
      <c r="M830" t="s">
        <v>1091</v>
      </c>
      <c r="N830">
        <f t="shared" si="60"/>
        <v>19</v>
      </c>
      <c r="O830">
        <f t="shared" si="61"/>
        <v>5</v>
      </c>
      <c r="P830" t="str">
        <f t="shared" si="62"/>
        <v>Observed Better</v>
      </c>
      <c r="Q830" t="str">
        <f t="shared" si="63"/>
        <v>May</v>
      </c>
      <c r="R830" t="str">
        <f t="shared" si="64"/>
        <v>Week 19</v>
      </c>
    </row>
    <row r="831" spans="1:18" x14ac:dyDescent="0.2">
      <c r="A831">
        <v>244122</v>
      </c>
      <c r="B831" s="2">
        <v>45421</v>
      </c>
      <c r="C831" t="s">
        <v>65</v>
      </c>
      <c r="D831" t="s">
        <v>66</v>
      </c>
      <c r="E831" t="s">
        <v>16</v>
      </c>
      <c r="F831" t="s">
        <v>227</v>
      </c>
      <c r="H831" t="s">
        <v>67</v>
      </c>
      <c r="I831" t="s">
        <v>1092</v>
      </c>
      <c r="J831" t="s">
        <v>892</v>
      </c>
      <c r="K831" t="s">
        <v>893</v>
      </c>
      <c r="L831" t="s">
        <v>70</v>
      </c>
      <c r="M831" t="s">
        <v>1093</v>
      </c>
      <c r="N831">
        <f t="shared" si="60"/>
        <v>19</v>
      </c>
      <c r="O831">
        <f t="shared" si="61"/>
        <v>5</v>
      </c>
      <c r="P831" t="str">
        <f t="shared" si="62"/>
        <v>Observed Better</v>
      </c>
      <c r="Q831" t="str">
        <f t="shared" si="63"/>
        <v>May</v>
      </c>
      <c r="R831" t="str">
        <f t="shared" si="64"/>
        <v>Week 19</v>
      </c>
    </row>
    <row r="832" spans="1:18" x14ac:dyDescent="0.2">
      <c r="A832">
        <v>244123</v>
      </c>
      <c r="B832" s="2">
        <v>45421</v>
      </c>
      <c r="C832" t="s">
        <v>65</v>
      </c>
      <c r="D832" t="s">
        <v>66</v>
      </c>
      <c r="E832" t="s">
        <v>16</v>
      </c>
      <c r="F832" t="s">
        <v>17</v>
      </c>
      <c r="H832" t="s">
        <v>67</v>
      </c>
      <c r="I832" t="s">
        <v>1094</v>
      </c>
      <c r="J832" t="s">
        <v>40</v>
      </c>
      <c r="K832" t="s">
        <v>76</v>
      </c>
      <c r="L832" t="s">
        <v>70</v>
      </c>
      <c r="M832" t="s">
        <v>1095</v>
      </c>
      <c r="N832">
        <f t="shared" si="60"/>
        <v>19</v>
      </c>
      <c r="O832">
        <f t="shared" si="61"/>
        <v>5</v>
      </c>
      <c r="P832" t="str">
        <f t="shared" si="62"/>
        <v>Observed Better</v>
      </c>
      <c r="Q832" t="str">
        <f t="shared" si="63"/>
        <v>May</v>
      </c>
      <c r="R832" t="str">
        <f t="shared" si="64"/>
        <v>Week 19</v>
      </c>
    </row>
    <row r="833" spans="1:18" x14ac:dyDescent="0.2">
      <c r="A833">
        <v>244124</v>
      </c>
      <c r="B833" s="2">
        <v>45421</v>
      </c>
      <c r="C833" t="s">
        <v>65</v>
      </c>
      <c r="D833" t="s">
        <v>66</v>
      </c>
      <c r="E833" t="s">
        <v>16</v>
      </c>
      <c r="F833" t="s">
        <v>227</v>
      </c>
      <c r="H833" t="s">
        <v>67</v>
      </c>
      <c r="I833" t="s">
        <v>1096</v>
      </c>
      <c r="J833" t="s">
        <v>892</v>
      </c>
      <c r="K833" t="s">
        <v>893</v>
      </c>
      <c r="L833" t="s">
        <v>70</v>
      </c>
      <c r="M833" t="s">
        <v>1097</v>
      </c>
      <c r="N833">
        <f t="shared" si="60"/>
        <v>19</v>
      </c>
      <c r="O833">
        <f t="shared" si="61"/>
        <v>5</v>
      </c>
      <c r="P833" t="str">
        <f t="shared" si="62"/>
        <v>Observed Better</v>
      </c>
      <c r="Q833" t="str">
        <f t="shared" si="63"/>
        <v>May</v>
      </c>
      <c r="R833" t="str">
        <f t="shared" si="64"/>
        <v>Week 19</v>
      </c>
    </row>
    <row r="834" spans="1:18" x14ac:dyDescent="0.2">
      <c r="A834">
        <v>244125</v>
      </c>
      <c r="B834" s="2">
        <v>45421</v>
      </c>
      <c r="C834" t="s">
        <v>65</v>
      </c>
      <c r="D834" t="s">
        <v>66</v>
      </c>
      <c r="E834" t="s">
        <v>16</v>
      </c>
      <c r="F834" t="s">
        <v>227</v>
      </c>
      <c r="H834" t="s">
        <v>67</v>
      </c>
      <c r="I834" t="s">
        <v>1098</v>
      </c>
      <c r="J834" t="s">
        <v>892</v>
      </c>
      <c r="K834" t="s">
        <v>893</v>
      </c>
      <c r="L834" t="s">
        <v>70</v>
      </c>
      <c r="M834" t="s">
        <v>1099</v>
      </c>
      <c r="N834">
        <f t="shared" ref="N834:N897" si="65">IF(ISBLANK(B834)," ",WEEKNUM(B834))</f>
        <v>19</v>
      </c>
      <c r="O834">
        <f t="shared" ref="O834:O897" si="66">IF(ISBLANK(B834)," ",MONTH(B834))</f>
        <v>5</v>
      </c>
      <c r="P834" t="str">
        <f t="shared" ref="P834:P897" si="67">IF(ISNUMBER(SEARCH("provided",L834)),"Provided Guidance","Observed Better")</f>
        <v>Observed Better</v>
      </c>
      <c r="Q834" t="str">
        <f t="shared" ref="Q834:Q897" si="68">IF(O834=" "," ",TEXT(O834*29,"mmmm"))</f>
        <v>May</v>
      </c>
      <c r="R834" t="str">
        <f t="shared" ref="R834:R897" si="69">IF(N834=" "," ",_xlfn.CONCAT("Week ",+TEXT(N834,"0")))</f>
        <v>Week 19</v>
      </c>
    </row>
    <row r="835" spans="1:18" x14ac:dyDescent="0.2">
      <c r="A835">
        <v>244126</v>
      </c>
      <c r="B835" s="2">
        <v>45421</v>
      </c>
      <c r="C835" t="s">
        <v>65</v>
      </c>
      <c r="D835" t="s">
        <v>66</v>
      </c>
      <c r="E835" t="s">
        <v>16</v>
      </c>
      <c r="F835" t="s">
        <v>17</v>
      </c>
      <c r="H835" t="s">
        <v>67</v>
      </c>
      <c r="I835" t="s">
        <v>1100</v>
      </c>
      <c r="J835" t="s">
        <v>40</v>
      </c>
      <c r="K835" t="s">
        <v>76</v>
      </c>
      <c r="L835" t="s">
        <v>70</v>
      </c>
      <c r="M835" t="s">
        <v>1101</v>
      </c>
      <c r="N835">
        <f t="shared" si="65"/>
        <v>19</v>
      </c>
      <c r="O835">
        <f t="shared" si="66"/>
        <v>5</v>
      </c>
      <c r="P835" t="str">
        <f t="shared" si="67"/>
        <v>Observed Better</v>
      </c>
      <c r="Q835" t="str">
        <f t="shared" si="68"/>
        <v>May</v>
      </c>
      <c r="R835" t="str">
        <f t="shared" si="69"/>
        <v>Week 19</v>
      </c>
    </row>
    <row r="836" spans="1:18" x14ac:dyDescent="0.2">
      <c r="A836">
        <v>244127</v>
      </c>
      <c r="B836" s="2">
        <v>45421</v>
      </c>
      <c r="C836" t="s">
        <v>65</v>
      </c>
      <c r="D836" t="s">
        <v>66</v>
      </c>
      <c r="E836" t="s">
        <v>16</v>
      </c>
      <c r="F836" t="s">
        <v>227</v>
      </c>
      <c r="H836" t="s">
        <v>67</v>
      </c>
      <c r="I836" t="s">
        <v>1102</v>
      </c>
      <c r="J836" t="s">
        <v>892</v>
      </c>
      <c r="K836" t="s">
        <v>893</v>
      </c>
      <c r="L836" t="s">
        <v>70</v>
      </c>
      <c r="M836" t="s">
        <v>1103</v>
      </c>
      <c r="N836">
        <f t="shared" si="65"/>
        <v>19</v>
      </c>
      <c r="O836">
        <f t="shared" si="66"/>
        <v>5</v>
      </c>
      <c r="P836" t="str">
        <f t="shared" si="67"/>
        <v>Observed Better</v>
      </c>
      <c r="Q836" t="str">
        <f t="shared" si="68"/>
        <v>May</v>
      </c>
      <c r="R836" t="str">
        <f t="shared" si="69"/>
        <v>Week 19</v>
      </c>
    </row>
    <row r="837" spans="1:18" x14ac:dyDescent="0.2">
      <c r="A837">
        <v>244128</v>
      </c>
      <c r="B837" s="2">
        <v>45421</v>
      </c>
      <c r="C837" t="s">
        <v>65</v>
      </c>
      <c r="D837" t="s">
        <v>66</v>
      </c>
      <c r="E837" t="s">
        <v>16</v>
      </c>
      <c r="F837" t="s">
        <v>227</v>
      </c>
      <c r="H837" t="s">
        <v>67</v>
      </c>
      <c r="I837" t="s">
        <v>1104</v>
      </c>
      <c r="J837" t="s">
        <v>892</v>
      </c>
      <c r="K837" t="s">
        <v>893</v>
      </c>
      <c r="L837" t="s">
        <v>70</v>
      </c>
      <c r="M837" t="s">
        <v>1105</v>
      </c>
      <c r="N837">
        <f t="shared" si="65"/>
        <v>19</v>
      </c>
      <c r="O837">
        <f t="shared" si="66"/>
        <v>5</v>
      </c>
      <c r="P837" t="str">
        <f t="shared" si="67"/>
        <v>Observed Better</v>
      </c>
      <c r="Q837" t="str">
        <f t="shared" si="68"/>
        <v>May</v>
      </c>
      <c r="R837" t="str">
        <f t="shared" si="69"/>
        <v>Week 19</v>
      </c>
    </row>
    <row r="838" spans="1:18" x14ac:dyDescent="0.2">
      <c r="A838">
        <v>244129</v>
      </c>
      <c r="B838" s="2">
        <v>45421</v>
      </c>
      <c r="C838" t="s">
        <v>65</v>
      </c>
      <c r="D838" t="s">
        <v>66</v>
      </c>
      <c r="E838" t="s">
        <v>16</v>
      </c>
      <c r="F838" t="s">
        <v>17</v>
      </c>
      <c r="H838" t="s">
        <v>67</v>
      </c>
      <c r="I838" t="s">
        <v>1106</v>
      </c>
      <c r="J838" t="s">
        <v>40</v>
      </c>
      <c r="K838" t="s">
        <v>76</v>
      </c>
      <c r="L838" t="s">
        <v>70</v>
      </c>
      <c r="M838" t="s">
        <v>1107</v>
      </c>
      <c r="N838">
        <f t="shared" si="65"/>
        <v>19</v>
      </c>
      <c r="O838">
        <f t="shared" si="66"/>
        <v>5</v>
      </c>
      <c r="P838" t="str">
        <f t="shared" si="67"/>
        <v>Observed Better</v>
      </c>
      <c r="Q838" t="str">
        <f t="shared" si="68"/>
        <v>May</v>
      </c>
      <c r="R838" t="str">
        <f t="shared" si="69"/>
        <v>Week 19</v>
      </c>
    </row>
    <row r="839" spans="1:18" x14ac:dyDescent="0.2">
      <c r="A839">
        <v>244130</v>
      </c>
      <c r="B839" s="2">
        <v>45421</v>
      </c>
      <c r="C839" t="s">
        <v>65</v>
      </c>
      <c r="D839" t="s">
        <v>66</v>
      </c>
      <c r="E839" t="s">
        <v>16</v>
      </c>
      <c r="F839" t="s">
        <v>227</v>
      </c>
      <c r="H839" t="s">
        <v>67</v>
      </c>
      <c r="I839" t="s">
        <v>1106</v>
      </c>
      <c r="J839" t="s">
        <v>892</v>
      </c>
      <c r="K839" t="s">
        <v>893</v>
      </c>
      <c r="L839" t="s">
        <v>70</v>
      </c>
      <c r="M839" t="s">
        <v>1108</v>
      </c>
      <c r="N839">
        <f t="shared" si="65"/>
        <v>19</v>
      </c>
      <c r="O839">
        <f t="shared" si="66"/>
        <v>5</v>
      </c>
      <c r="P839" t="str">
        <f t="shared" si="67"/>
        <v>Observed Better</v>
      </c>
      <c r="Q839" t="str">
        <f t="shared" si="68"/>
        <v>May</v>
      </c>
      <c r="R839" t="str">
        <f t="shared" si="69"/>
        <v>Week 19</v>
      </c>
    </row>
    <row r="840" spans="1:18" x14ac:dyDescent="0.2">
      <c r="A840">
        <v>244131</v>
      </c>
      <c r="B840" s="2">
        <v>45421</v>
      </c>
      <c r="C840" t="s">
        <v>65</v>
      </c>
      <c r="D840" t="s">
        <v>66</v>
      </c>
      <c r="E840" t="s">
        <v>16</v>
      </c>
      <c r="F840" t="s">
        <v>17</v>
      </c>
      <c r="H840" t="s">
        <v>67</v>
      </c>
      <c r="I840" t="s">
        <v>1109</v>
      </c>
      <c r="J840" t="s">
        <v>40</v>
      </c>
      <c r="K840" t="s">
        <v>76</v>
      </c>
      <c r="L840" t="s">
        <v>70</v>
      </c>
      <c r="M840" t="s">
        <v>1110</v>
      </c>
      <c r="N840">
        <f t="shared" si="65"/>
        <v>19</v>
      </c>
      <c r="O840">
        <f t="shared" si="66"/>
        <v>5</v>
      </c>
      <c r="P840" t="str">
        <f t="shared" si="67"/>
        <v>Observed Better</v>
      </c>
      <c r="Q840" t="str">
        <f t="shared" si="68"/>
        <v>May</v>
      </c>
      <c r="R840" t="str">
        <f t="shared" si="69"/>
        <v>Week 19</v>
      </c>
    </row>
    <row r="841" spans="1:18" x14ac:dyDescent="0.2">
      <c r="A841">
        <v>244132</v>
      </c>
      <c r="B841" s="2">
        <v>45421</v>
      </c>
      <c r="C841" t="s">
        <v>65</v>
      </c>
      <c r="D841" t="s">
        <v>66</v>
      </c>
      <c r="E841" t="s">
        <v>16</v>
      </c>
      <c r="F841" t="s">
        <v>227</v>
      </c>
      <c r="H841" t="s">
        <v>67</v>
      </c>
      <c r="I841" t="s">
        <v>1111</v>
      </c>
      <c r="J841" t="s">
        <v>892</v>
      </c>
      <c r="K841" t="s">
        <v>893</v>
      </c>
      <c r="L841" t="s">
        <v>70</v>
      </c>
      <c r="M841" t="s">
        <v>943</v>
      </c>
      <c r="N841">
        <f t="shared" si="65"/>
        <v>19</v>
      </c>
      <c r="O841">
        <f t="shared" si="66"/>
        <v>5</v>
      </c>
      <c r="P841" t="str">
        <f t="shared" si="67"/>
        <v>Observed Better</v>
      </c>
      <c r="Q841" t="str">
        <f t="shared" si="68"/>
        <v>May</v>
      </c>
      <c r="R841" t="str">
        <f t="shared" si="69"/>
        <v>Week 19</v>
      </c>
    </row>
    <row r="842" spans="1:18" x14ac:dyDescent="0.2">
      <c r="A842">
        <v>244133</v>
      </c>
      <c r="B842" s="2">
        <v>45421</v>
      </c>
      <c r="C842" t="s">
        <v>65</v>
      </c>
      <c r="D842" t="s">
        <v>66</v>
      </c>
      <c r="E842" t="s">
        <v>16</v>
      </c>
      <c r="F842" t="s">
        <v>227</v>
      </c>
      <c r="H842" t="s">
        <v>67</v>
      </c>
      <c r="I842" t="s">
        <v>1112</v>
      </c>
      <c r="J842" t="s">
        <v>892</v>
      </c>
      <c r="K842" t="s">
        <v>893</v>
      </c>
      <c r="L842" t="s">
        <v>70</v>
      </c>
      <c r="M842" t="s">
        <v>945</v>
      </c>
      <c r="N842">
        <f t="shared" si="65"/>
        <v>19</v>
      </c>
      <c r="O842">
        <f t="shared" si="66"/>
        <v>5</v>
      </c>
      <c r="P842" t="str">
        <f t="shared" si="67"/>
        <v>Observed Better</v>
      </c>
      <c r="Q842" t="str">
        <f t="shared" si="68"/>
        <v>May</v>
      </c>
      <c r="R842" t="str">
        <f t="shared" si="69"/>
        <v>Week 19</v>
      </c>
    </row>
    <row r="843" spans="1:18" x14ac:dyDescent="0.2">
      <c r="A843">
        <v>244134</v>
      </c>
      <c r="B843" s="2">
        <v>45421</v>
      </c>
      <c r="C843" t="s">
        <v>65</v>
      </c>
      <c r="D843" t="s">
        <v>66</v>
      </c>
      <c r="E843" t="s">
        <v>16</v>
      </c>
      <c r="F843" t="s">
        <v>227</v>
      </c>
      <c r="H843" t="s">
        <v>67</v>
      </c>
      <c r="I843" t="s">
        <v>1113</v>
      </c>
      <c r="J843" t="s">
        <v>892</v>
      </c>
      <c r="K843" t="s">
        <v>893</v>
      </c>
      <c r="L843" t="s">
        <v>70</v>
      </c>
      <c r="M843" t="s">
        <v>1114</v>
      </c>
      <c r="N843">
        <f t="shared" si="65"/>
        <v>19</v>
      </c>
      <c r="O843">
        <f t="shared" si="66"/>
        <v>5</v>
      </c>
      <c r="P843" t="str">
        <f t="shared" si="67"/>
        <v>Observed Better</v>
      </c>
      <c r="Q843" t="str">
        <f t="shared" si="68"/>
        <v>May</v>
      </c>
      <c r="R843" t="str">
        <f t="shared" si="69"/>
        <v>Week 19</v>
      </c>
    </row>
    <row r="844" spans="1:18" x14ac:dyDescent="0.2">
      <c r="A844">
        <v>244135</v>
      </c>
      <c r="B844" s="2">
        <v>45421</v>
      </c>
      <c r="C844" t="s">
        <v>65</v>
      </c>
      <c r="D844" t="s">
        <v>66</v>
      </c>
      <c r="E844" t="s">
        <v>16</v>
      </c>
      <c r="F844" t="s">
        <v>17</v>
      </c>
      <c r="H844" t="s">
        <v>67</v>
      </c>
      <c r="I844" t="s">
        <v>1115</v>
      </c>
      <c r="J844" t="s">
        <v>40</v>
      </c>
      <c r="K844" t="s">
        <v>76</v>
      </c>
      <c r="L844" t="s">
        <v>70</v>
      </c>
      <c r="M844" t="s">
        <v>1116</v>
      </c>
      <c r="N844">
        <f t="shared" si="65"/>
        <v>19</v>
      </c>
      <c r="O844">
        <f t="shared" si="66"/>
        <v>5</v>
      </c>
      <c r="P844" t="str">
        <f t="shared" si="67"/>
        <v>Observed Better</v>
      </c>
      <c r="Q844" t="str">
        <f t="shared" si="68"/>
        <v>May</v>
      </c>
      <c r="R844" t="str">
        <f t="shared" si="69"/>
        <v>Week 19</v>
      </c>
    </row>
    <row r="845" spans="1:18" x14ac:dyDescent="0.2">
      <c r="A845">
        <v>244136</v>
      </c>
      <c r="B845" s="2">
        <v>45421</v>
      </c>
      <c r="C845" t="s">
        <v>65</v>
      </c>
      <c r="D845" t="s">
        <v>66</v>
      </c>
      <c r="E845" t="s">
        <v>16</v>
      </c>
      <c r="F845" t="s">
        <v>227</v>
      </c>
      <c r="H845" t="s">
        <v>67</v>
      </c>
      <c r="I845" t="s">
        <v>1117</v>
      </c>
      <c r="J845" t="s">
        <v>892</v>
      </c>
      <c r="K845" t="s">
        <v>893</v>
      </c>
      <c r="L845" t="s">
        <v>70</v>
      </c>
      <c r="M845" t="s">
        <v>1118</v>
      </c>
      <c r="N845">
        <f t="shared" si="65"/>
        <v>19</v>
      </c>
      <c r="O845">
        <f t="shared" si="66"/>
        <v>5</v>
      </c>
      <c r="P845" t="str">
        <f t="shared" si="67"/>
        <v>Observed Better</v>
      </c>
      <c r="Q845" t="str">
        <f t="shared" si="68"/>
        <v>May</v>
      </c>
      <c r="R845" t="str">
        <f t="shared" si="69"/>
        <v>Week 19</v>
      </c>
    </row>
    <row r="846" spans="1:18" x14ac:dyDescent="0.2">
      <c r="A846">
        <v>244137</v>
      </c>
      <c r="B846" s="2">
        <v>45421</v>
      </c>
      <c r="C846" t="s">
        <v>65</v>
      </c>
      <c r="D846" t="s">
        <v>66</v>
      </c>
      <c r="E846" t="s">
        <v>16</v>
      </c>
      <c r="F846" t="s">
        <v>227</v>
      </c>
      <c r="H846" t="s">
        <v>67</v>
      </c>
      <c r="I846" t="s">
        <v>1119</v>
      </c>
      <c r="J846" t="s">
        <v>892</v>
      </c>
      <c r="K846" t="s">
        <v>893</v>
      </c>
      <c r="L846" t="s">
        <v>70</v>
      </c>
      <c r="M846" t="s">
        <v>1120</v>
      </c>
      <c r="N846">
        <f t="shared" si="65"/>
        <v>19</v>
      </c>
      <c r="O846">
        <f t="shared" si="66"/>
        <v>5</v>
      </c>
      <c r="P846" t="str">
        <f t="shared" si="67"/>
        <v>Observed Better</v>
      </c>
      <c r="Q846" t="str">
        <f t="shared" si="68"/>
        <v>May</v>
      </c>
      <c r="R846" t="str">
        <f t="shared" si="69"/>
        <v>Week 19</v>
      </c>
    </row>
    <row r="847" spans="1:18" x14ac:dyDescent="0.2">
      <c r="A847">
        <v>244138</v>
      </c>
      <c r="B847" s="2">
        <v>45421</v>
      </c>
      <c r="C847" t="s">
        <v>65</v>
      </c>
      <c r="D847" t="s">
        <v>66</v>
      </c>
      <c r="E847" t="s">
        <v>16</v>
      </c>
      <c r="F847" t="s">
        <v>17</v>
      </c>
      <c r="H847" t="s">
        <v>67</v>
      </c>
      <c r="I847" t="s">
        <v>1121</v>
      </c>
      <c r="J847" t="s">
        <v>40</v>
      </c>
      <c r="K847" t="s">
        <v>76</v>
      </c>
      <c r="L847" t="s">
        <v>70</v>
      </c>
      <c r="M847" t="s">
        <v>177</v>
      </c>
      <c r="N847">
        <f t="shared" si="65"/>
        <v>19</v>
      </c>
      <c r="O847">
        <f t="shared" si="66"/>
        <v>5</v>
      </c>
      <c r="P847" t="str">
        <f t="shared" si="67"/>
        <v>Observed Better</v>
      </c>
      <c r="Q847" t="str">
        <f t="shared" si="68"/>
        <v>May</v>
      </c>
      <c r="R847" t="str">
        <f t="shared" si="69"/>
        <v>Week 19</v>
      </c>
    </row>
    <row r="848" spans="1:18" x14ac:dyDescent="0.2">
      <c r="A848">
        <v>244139</v>
      </c>
      <c r="B848" s="2">
        <v>45421</v>
      </c>
      <c r="C848" t="s">
        <v>65</v>
      </c>
      <c r="D848" t="s">
        <v>66</v>
      </c>
      <c r="E848" t="s">
        <v>16</v>
      </c>
      <c r="F848" t="s">
        <v>227</v>
      </c>
      <c r="H848" t="s">
        <v>67</v>
      </c>
      <c r="I848" t="s">
        <v>1122</v>
      </c>
      <c r="J848" t="s">
        <v>892</v>
      </c>
      <c r="K848" t="s">
        <v>893</v>
      </c>
      <c r="L848" t="s">
        <v>70</v>
      </c>
      <c r="M848" t="s">
        <v>1123</v>
      </c>
      <c r="N848">
        <f t="shared" si="65"/>
        <v>19</v>
      </c>
      <c r="O848">
        <f t="shared" si="66"/>
        <v>5</v>
      </c>
      <c r="P848" t="str">
        <f t="shared" si="67"/>
        <v>Observed Better</v>
      </c>
      <c r="Q848" t="str">
        <f t="shared" si="68"/>
        <v>May</v>
      </c>
      <c r="R848" t="str">
        <f t="shared" si="69"/>
        <v>Week 19</v>
      </c>
    </row>
    <row r="849" spans="1:18" x14ac:dyDescent="0.2">
      <c r="A849">
        <v>244140</v>
      </c>
      <c r="B849" s="2">
        <v>45421</v>
      </c>
      <c r="C849" t="s">
        <v>65</v>
      </c>
      <c r="D849" t="s">
        <v>66</v>
      </c>
      <c r="E849" t="s">
        <v>16</v>
      </c>
      <c r="F849" t="s">
        <v>227</v>
      </c>
      <c r="H849" t="s">
        <v>67</v>
      </c>
      <c r="I849" t="s">
        <v>1124</v>
      </c>
      <c r="J849" t="s">
        <v>892</v>
      </c>
      <c r="K849" t="s">
        <v>893</v>
      </c>
      <c r="L849" t="s">
        <v>70</v>
      </c>
      <c r="M849" t="s">
        <v>1125</v>
      </c>
      <c r="N849">
        <f t="shared" si="65"/>
        <v>19</v>
      </c>
      <c r="O849">
        <f t="shared" si="66"/>
        <v>5</v>
      </c>
      <c r="P849" t="str">
        <f t="shared" si="67"/>
        <v>Observed Better</v>
      </c>
      <c r="Q849" t="str">
        <f t="shared" si="68"/>
        <v>May</v>
      </c>
      <c r="R849" t="str">
        <f t="shared" si="69"/>
        <v>Week 19</v>
      </c>
    </row>
    <row r="850" spans="1:18" x14ac:dyDescent="0.2">
      <c r="A850">
        <v>244141</v>
      </c>
      <c r="B850" s="2">
        <v>45421</v>
      </c>
      <c r="C850" t="s">
        <v>65</v>
      </c>
      <c r="D850" t="s">
        <v>66</v>
      </c>
      <c r="E850" t="s">
        <v>16</v>
      </c>
      <c r="F850" t="s">
        <v>17</v>
      </c>
      <c r="H850" t="s">
        <v>67</v>
      </c>
      <c r="I850" t="s">
        <v>1126</v>
      </c>
      <c r="J850" t="s">
        <v>40</v>
      </c>
      <c r="K850" t="s">
        <v>76</v>
      </c>
      <c r="L850" t="s">
        <v>70</v>
      </c>
      <c r="M850" t="s">
        <v>179</v>
      </c>
      <c r="N850">
        <f t="shared" si="65"/>
        <v>19</v>
      </c>
      <c r="O850">
        <f t="shared" si="66"/>
        <v>5</v>
      </c>
      <c r="P850" t="str">
        <f t="shared" si="67"/>
        <v>Observed Better</v>
      </c>
      <c r="Q850" t="str">
        <f t="shared" si="68"/>
        <v>May</v>
      </c>
      <c r="R850" t="str">
        <f t="shared" si="69"/>
        <v>Week 19</v>
      </c>
    </row>
    <row r="851" spans="1:18" x14ac:dyDescent="0.2">
      <c r="A851">
        <v>244142</v>
      </c>
      <c r="B851" s="2">
        <v>45421</v>
      </c>
      <c r="C851" t="s">
        <v>65</v>
      </c>
      <c r="D851" t="s">
        <v>66</v>
      </c>
      <c r="E851" t="s">
        <v>16</v>
      </c>
      <c r="F851" t="s">
        <v>227</v>
      </c>
      <c r="H851" t="s">
        <v>67</v>
      </c>
      <c r="I851" t="s">
        <v>1127</v>
      </c>
      <c r="J851" t="s">
        <v>892</v>
      </c>
      <c r="K851" t="s">
        <v>893</v>
      </c>
      <c r="L851" t="s">
        <v>70</v>
      </c>
      <c r="M851" t="s">
        <v>901</v>
      </c>
      <c r="N851">
        <f t="shared" si="65"/>
        <v>19</v>
      </c>
      <c r="O851">
        <f t="shared" si="66"/>
        <v>5</v>
      </c>
      <c r="P851" t="str">
        <f t="shared" si="67"/>
        <v>Observed Better</v>
      </c>
      <c r="Q851" t="str">
        <f t="shared" si="68"/>
        <v>May</v>
      </c>
      <c r="R851" t="str">
        <f t="shared" si="69"/>
        <v>Week 19</v>
      </c>
    </row>
    <row r="852" spans="1:18" x14ac:dyDescent="0.2">
      <c r="A852">
        <v>244143</v>
      </c>
      <c r="B852" s="2">
        <v>45421</v>
      </c>
      <c r="C852" t="s">
        <v>65</v>
      </c>
      <c r="D852" t="s">
        <v>66</v>
      </c>
      <c r="E852" t="s">
        <v>16</v>
      </c>
      <c r="F852" t="s">
        <v>227</v>
      </c>
      <c r="H852" t="s">
        <v>67</v>
      </c>
      <c r="I852" t="s">
        <v>1128</v>
      </c>
      <c r="J852" t="s">
        <v>892</v>
      </c>
      <c r="K852" t="s">
        <v>893</v>
      </c>
      <c r="L852" t="s">
        <v>70</v>
      </c>
      <c r="M852" t="s">
        <v>1129</v>
      </c>
      <c r="N852">
        <f t="shared" si="65"/>
        <v>19</v>
      </c>
      <c r="O852">
        <f t="shared" si="66"/>
        <v>5</v>
      </c>
      <c r="P852" t="str">
        <f t="shared" si="67"/>
        <v>Observed Better</v>
      </c>
      <c r="Q852" t="str">
        <f t="shared" si="68"/>
        <v>May</v>
      </c>
      <c r="R852" t="str">
        <f t="shared" si="69"/>
        <v>Week 19</v>
      </c>
    </row>
    <row r="853" spans="1:18" x14ac:dyDescent="0.2">
      <c r="A853">
        <v>244144</v>
      </c>
      <c r="B853" s="2">
        <v>45421</v>
      </c>
      <c r="C853" t="s">
        <v>65</v>
      </c>
      <c r="D853" t="s">
        <v>66</v>
      </c>
      <c r="E853" t="s">
        <v>11</v>
      </c>
      <c r="F853" t="s">
        <v>134</v>
      </c>
      <c r="G853" t="s">
        <v>135</v>
      </c>
      <c r="H853" t="s">
        <v>67</v>
      </c>
      <c r="I853" t="s">
        <v>1130</v>
      </c>
      <c r="J853" t="s">
        <v>772</v>
      </c>
      <c r="K853" t="s">
        <v>773</v>
      </c>
      <c r="L853" t="s">
        <v>70</v>
      </c>
      <c r="N853">
        <f t="shared" si="65"/>
        <v>19</v>
      </c>
      <c r="O853">
        <f t="shared" si="66"/>
        <v>5</v>
      </c>
      <c r="P853" t="str">
        <f t="shared" si="67"/>
        <v>Observed Better</v>
      </c>
      <c r="Q853" t="str">
        <f t="shared" si="68"/>
        <v>May</v>
      </c>
      <c r="R853" t="str">
        <f t="shared" si="69"/>
        <v>Week 19</v>
      </c>
    </row>
    <row r="854" spans="1:18" x14ac:dyDescent="0.2">
      <c r="A854">
        <v>244145</v>
      </c>
      <c r="B854" s="2">
        <v>45421</v>
      </c>
      <c r="C854" t="s">
        <v>65</v>
      </c>
      <c r="D854" t="s">
        <v>66</v>
      </c>
      <c r="E854" t="s">
        <v>11</v>
      </c>
      <c r="F854" t="s">
        <v>12</v>
      </c>
      <c r="G854" t="s">
        <v>14</v>
      </c>
      <c r="H854" t="s">
        <v>67</v>
      </c>
      <c r="I854" t="s">
        <v>1131</v>
      </c>
      <c r="J854" t="s">
        <v>772</v>
      </c>
      <c r="K854" t="s">
        <v>773</v>
      </c>
      <c r="L854" t="s">
        <v>70</v>
      </c>
      <c r="N854">
        <f t="shared" si="65"/>
        <v>19</v>
      </c>
      <c r="O854">
        <f t="shared" si="66"/>
        <v>5</v>
      </c>
      <c r="P854" t="str">
        <f t="shared" si="67"/>
        <v>Observed Better</v>
      </c>
      <c r="Q854" t="str">
        <f t="shared" si="68"/>
        <v>May</v>
      </c>
      <c r="R854" t="str">
        <f t="shared" si="69"/>
        <v>Week 19</v>
      </c>
    </row>
    <row r="855" spans="1:18" x14ac:dyDescent="0.2">
      <c r="A855">
        <v>244146</v>
      </c>
      <c r="B855" s="2">
        <v>45421</v>
      </c>
      <c r="C855" t="s">
        <v>65</v>
      </c>
      <c r="D855" t="s">
        <v>66</v>
      </c>
      <c r="E855" t="s">
        <v>8</v>
      </c>
      <c r="F855" t="s">
        <v>9</v>
      </c>
      <c r="G855" t="s">
        <v>203</v>
      </c>
      <c r="H855" t="s">
        <v>67</v>
      </c>
      <c r="I855" t="s">
        <v>1132</v>
      </c>
      <c r="J855" t="s">
        <v>580</v>
      </c>
      <c r="K855" t="s">
        <v>581</v>
      </c>
      <c r="L855" t="s">
        <v>70</v>
      </c>
      <c r="N855">
        <f t="shared" si="65"/>
        <v>19</v>
      </c>
      <c r="O855">
        <f t="shared" si="66"/>
        <v>5</v>
      </c>
      <c r="P855" t="str">
        <f t="shared" si="67"/>
        <v>Observed Better</v>
      </c>
      <c r="Q855" t="str">
        <f t="shared" si="68"/>
        <v>May</v>
      </c>
      <c r="R855" t="str">
        <f t="shared" si="69"/>
        <v>Week 19</v>
      </c>
    </row>
    <row r="856" spans="1:18" x14ac:dyDescent="0.2">
      <c r="A856">
        <v>244147</v>
      </c>
      <c r="B856" s="2">
        <v>45421</v>
      </c>
      <c r="C856" t="s">
        <v>65</v>
      </c>
      <c r="D856" t="s">
        <v>66</v>
      </c>
      <c r="E856" t="s">
        <v>24</v>
      </c>
      <c r="F856" t="s">
        <v>10</v>
      </c>
      <c r="G856" t="s">
        <v>26</v>
      </c>
      <c r="H856" t="s">
        <v>67</v>
      </c>
      <c r="I856" t="s">
        <v>1133</v>
      </c>
      <c r="J856" t="s">
        <v>580</v>
      </c>
      <c r="K856" t="s">
        <v>581</v>
      </c>
      <c r="L856" t="s">
        <v>70</v>
      </c>
      <c r="N856">
        <f t="shared" si="65"/>
        <v>19</v>
      </c>
      <c r="O856">
        <f t="shared" si="66"/>
        <v>5</v>
      </c>
      <c r="P856" t="str">
        <f t="shared" si="67"/>
        <v>Observed Better</v>
      </c>
      <c r="Q856" t="str">
        <f t="shared" si="68"/>
        <v>May</v>
      </c>
      <c r="R856" t="str">
        <f t="shared" si="69"/>
        <v>Week 19</v>
      </c>
    </row>
    <row r="857" spans="1:18" x14ac:dyDescent="0.2">
      <c r="A857">
        <v>244148</v>
      </c>
      <c r="B857" s="2">
        <v>45421</v>
      </c>
      <c r="C857" t="s">
        <v>65</v>
      </c>
      <c r="D857" t="s">
        <v>66</v>
      </c>
      <c r="E857" t="s">
        <v>8</v>
      </c>
      <c r="F857" t="s">
        <v>9</v>
      </c>
      <c r="G857" t="s">
        <v>203</v>
      </c>
      <c r="H857" t="s">
        <v>67</v>
      </c>
      <c r="I857" t="s">
        <v>1134</v>
      </c>
      <c r="J857" t="s">
        <v>35</v>
      </c>
      <c r="K857" t="s">
        <v>241</v>
      </c>
      <c r="L857" t="s">
        <v>70</v>
      </c>
      <c r="N857">
        <f t="shared" si="65"/>
        <v>19</v>
      </c>
      <c r="O857">
        <f t="shared" si="66"/>
        <v>5</v>
      </c>
      <c r="P857" t="str">
        <f t="shared" si="67"/>
        <v>Observed Better</v>
      </c>
      <c r="Q857" t="str">
        <f t="shared" si="68"/>
        <v>May</v>
      </c>
      <c r="R857" t="str">
        <f t="shared" si="69"/>
        <v>Week 19</v>
      </c>
    </row>
    <row r="858" spans="1:18" x14ac:dyDescent="0.2">
      <c r="A858">
        <v>244149</v>
      </c>
      <c r="B858" s="2">
        <v>45421</v>
      </c>
      <c r="C858" t="s">
        <v>65</v>
      </c>
      <c r="D858" t="s">
        <v>66</v>
      </c>
      <c r="E858" t="s">
        <v>11</v>
      </c>
      <c r="F858" t="s">
        <v>134</v>
      </c>
      <c r="G858" t="s">
        <v>370</v>
      </c>
      <c r="H858" t="s">
        <v>67</v>
      </c>
      <c r="I858" t="s">
        <v>1135</v>
      </c>
      <c r="J858" t="s">
        <v>35</v>
      </c>
      <c r="K858" t="s">
        <v>241</v>
      </c>
      <c r="L858" t="s">
        <v>70</v>
      </c>
      <c r="N858">
        <f t="shared" si="65"/>
        <v>19</v>
      </c>
      <c r="O858">
        <f t="shared" si="66"/>
        <v>5</v>
      </c>
      <c r="P858" t="str">
        <f t="shared" si="67"/>
        <v>Observed Better</v>
      </c>
      <c r="Q858" t="str">
        <f t="shared" si="68"/>
        <v>May</v>
      </c>
      <c r="R858" t="str">
        <f t="shared" si="69"/>
        <v>Week 19</v>
      </c>
    </row>
    <row r="859" spans="1:18" x14ac:dyDescent="0.2">
      <c r="A859">
        <v>244150</v>
      </c>
      <c r="B859" s="2">
        <v>45421</v>
      </c>
      <c r="C859" t="s">
        <v>65</v>
      </c>
      <c r="D859" t="s">
        <v>66</v>
      </c>
      <c r="E859" t="s">
        <v>20</v>
      </c>
      <c r="F859" t="s">
        <v>10</v>
      </c>
      <c r="G859" t="s">
        <v>23</v>
      </c>
      <c r="H859" t="s">
        <v>67</v>
      </c>
      <c r="I859" t="s">
        <v>1136</v>
      </c>
      <c r="J859" t="s">
        <v>35</v>
      </c>
      <c r="K859" t="s">
        <v>241</v>
      </c>
      <c r="L859" t="s">
        <v>70</v>
      </c>
      <c r="N859">
        <f t="shared" si="65"/>
        <v>19</v>
      </c>
      <c r="O859">
        <f t="shared" si="66"/>
        <v>5</v>
      </c>
      <c r="P859" t="str">
        <f t="shared" si="67"/>
        <v>Observed Better</v>
      </c>
      <c r="Q859" t="str">
        <f t="shared" si="68"/>
        <v>May</v>
      </c>
      <c r="R859" t="str">
        <f t="shared" si="69"/>
        <v>Week 19</v>
      </c>
    </row>
    <row r="860" spans="1:18" x14ac:dyDescent="0.2">
      <c r="A860">
        <v>244152</v>
      </c>
      <c r="B860" s="2">
        <v>45421</v>
      </c>
      <c r="C860" t="s">
        <v>65</v>
      </c>
      <c r="D860" t="s">
        <v>66</v>
      </c>
      <c r="E860" t="s">
        <v>11</v>
      </c>
      <c r="F860" t="s">
        <v>12</v>
      </c>
      <c r="G860" t="s">
        <v>13</v>
      </c>
      <c r="H860" t="s">
        <v>67</v>
      </c>
      <c r="I860" t="s">
        <v>1137</v>
      </c>
      <c r="J860" t="s">
        <v>110</v>
      </c>
      <c r="K860" t="s">
        <v>111</v>
      </c>
      <c r="L860" t="s">
        <v>70</v>
      </c>
      <c r="N860">
        <f t="shared" si="65"/>
        <v>19</v>
      </c>
      <c r="O860">
        <f t="shared" si="66"/>
        <v>5</v>
      </c>
      <c r="P860" t="str">
        <f t="shared" si="67"/>
        <v>Observed Better</v>
      </c>
      <c r="Q860" t="str">
        <f t="shared" si="68"/>
        <v>May</v>
      </c>
      <c r="R860" t="str">
        <f t="shared" si="69"/>
        <v>Week 19</v>
      </c>
    </row>
    <row r="861" spans="1:18" x14ac:dyDescent="0.2">
      <c r="A861">
        <v>244153</v>
      </c>
      <c r="B861" s="2">
        <v>45421</v>
      </c>
      <c r="C861" t="s">
        <v>65</v>
      </c>
      <c r="D861" t="s">
        <v>66</v>
      </c>
      <c r="E861" t="s">
        <v>11</v>
      </c>
      <c r="F861" t="s">
        <v>12</v>
      </c>
      <c r="G861" t="s">
        <v>13</v>
      </c>
      <c r="H861" t="s">
        <v>67</v>
      </c>
      <c r="I861" t="s">
        <v>1138</v>
      </c>
      <c r="J861" t="s">
        <v>110</v>
      </c>
      <c r="K861" t="s">
        <v>111</v>
      </c>
      <c r="L861" t="s">
        <v>77</v>
      </c>
      <c r="N861">
        <f t="shared" si="65"/>
        <v>19</v>
      </c>
      <c r="O861">
        <f t="shared" si="66"/>
        <v>5</v>
      </c>
      <c r="P861" t="str">
        <f t="shared" si="67"/>
        <v>Provided Guidance</v>
      </c>
      <c r="Q861" t="str">
        <f t="shared" si="68"/>
        <v>May</v>
      </c>
      <c r="R861" t="str">
        <f t="shared" si="69"/>
        <v>Week 19</v>
      </c>
    </row>
    <row r="862" spans="1:18" x14ac:dyDescent="0.2">
      <c r="A862">
        <v>244154</v>
      </c>
      <c r="B862" s="2">
        <v>45421</v>
      </c>
      <c r="C862" t="s">
        <v>65</v>
      </c>
      <c r="D862" t="s">
        <v>66</v>
      </c>
      <c r="E862" t="s">
        <v>11</v>
      </c>
      <c r="F862" t="s">
        <v>12</v>
      </c>
      <c r="G862" t="s">
        <v>13</v>
      </c>
      <c r="H862" t="s">
        <v>67</v>
      </c>
      <c r="I862" t="s">
        <v>1139</v>
      </c>
      <c r="J862" t="s">
        <v>110</v>
      </c>
      <c r="K862" t="s">
        <v>111</v>
      </c>
      <c r="L862" t="s">
        <v>70</v>
      </c>
      <c r="N862">
        <f t="shared" si="65"/>
        <v>19</v>
      </c>
      <c r="O862">
        <f t="shared" si="66"/>
        <v>5</v>
      </c>
      <c r="P862" t="str">
        <f t="shared" si="67"/>
        <v>Observed Better</v>
      </c>
      <c r="Q862" t="str">
        <f t="shared" si="68"/>
        <v>May</v>
      </c>
      <c r="R862" t="str">
        <f t="shared" si="69"/>
        <v>Week 19</v>
      </c>
    </row>
    <row r="863" spans="1:18" x14ac:dyDescent="0.2">
      <c r="A863">
        <v>244155</v>
      </c>
      <c r="B863" s="2">
        <v>45421</v>
      </c>
      <c r="C863" t="s">
        <v>65</v>
      </c>
      <c r="D863" t="s">
        <v>66</v>
      </c>
      <c r="E863" t="s">
        <v>11</v>
      </c>
      <c r="F863" t="s">
        <v>12</v>
      </c>
      <c r="G863" t="s">
        <v>13</v>
      </c>
      <c r="H863" t="s">
        <v>67</v>
      </c>
      <c r="I863" t="s">
        <v>1140</v>
      </c>
      <c r="J863" t="s">
        <v>110</v>
      </c>
      <c r="K863" t="s">
        <v>111</v>
      </c>
      <c r="L863" t="s">
        <v>77</v>
      </c>
      <c r="N863">
        <f t="shared" si="65"/>
        <v>19</v>
      </c>
      <c r="O863">
        <f t="shared" si="66"/>
        <v>5</v>
      </c>
      <c r="P863" t="str">
        <f t="shared" si="67"/>
        <v>Provided Guidance</v>
      </c>
      <c r="Q863" t="str">
        <f t="shared" si="68"/>
        <v>May</v>
      </c>
      <c r="R863" t="str">
        <f t="shared" si="69"/>
        <v>Week 19</v>
      </c>
    </row>
    <row r="864" spans="1:18" x14ac:dyDescent="0.2">
      <c r="A864">
        <v>244156</v>
      </c>
      <c r="B864" s="2">
        <v>45421</v>
      </c>
      <c r="C864" t="s">
        <v>65</v>
      </c>
      <c r="D864" t="s">
        <v>66</v>
      </c>
      <c r="E864" t="s">
        <v>16</v>
      </c>
      <c r="F864" t="s">
        <v>71</v>
      </c>
      <c r="H864" t="s">
        <v>67</v>
      </c>
      <c r="I864" t="s">
        <v>1141</v>
      </c>
      <c r="J864" t="s">
        <v>110</v>
      </c>
      <c r="K864" t="s">
        <v>111</v>
      </c>
      <c r="L864" t="s">
        <v>77</v>
      </c>
      <c r="N864">
        <f t="shared" si="65"/>
        <v>19</v>
      </c>
      <c r="O864">
        <f t="shared" si="66"/>
        <v>5</v>
      </c>
      <c r="P864" t="str">
        <f t="shared" si="67"/>
        <v>Provided Guidance</v>
      </c>
      <c r="Q864" t="str">
        <f t="shared" si="68"/>
        <v>May</v>
      </c>
      <c r="R864" t="str">
        <f t="shared" si="69"/>
        <v>Week 19</v>
      </c>
    </row>
    <row r="865" spans="1:18" x14ac:dyDescent="0.2">
      <c r="A865">
        <v>244157</v>
      </c>
      <c r="B865" s="2">
        <v>45421</v>
      </c>
      <c r="C865" t="s">
        <v>65</v>
      </c>
      <c r="D865" t="s">
        <v>66</v>
      </c>
      <c r="E865" t="s">
        <v>16</v>
      </c>
      <c r="F865" t="s">
        <v>71</v>
      </c>
      <c r="H865" t="s">
        <v>67</v>
      </c>
      <c r="I865" t="s">
        <v>1142</v>
      </c>
      <c r="J865" t="s">
        <v>110</v>
      </c>
      <c r="K865" t="s">
        <v>111</v>
      </c>
      <c r="L865" t="s">
        <v>70</v>
      </c>
      <c r="N865">
        <f t="shared" si="65"/>
        <v>19</v>
      </c>
      <c r="O865">
        <f t="shared" si="66"/>
        <v>5</v>
      </c>
      <c r="P865" t="str">
        <f t="shared" si="67"/>
        <v>Observed Better</v>
      </c>
      <c r="Q865" t="str">
        <f t="shared" si="68"/>
        <v>May</v>
      </c>
      <c r="R865" t="str">
        <f t="shared" si="69"/>
        <v>Week 19</v>
      </c>
    </row>
    <row r="866" spans="1:18" x14ac:dyDescent="0.2">
      <c r="A866">
        <v>244158</v>
      </c>
      <c r="B866" s="2">
        <v>45421</v>
      </c>
      <c r="C866" t="s">
        <v>65</v>
      </c>
      <c r="D866" t="s">
        <v>66</v>
      </c>
      <c r="E866" t="s">
        <v>11</v>
      </c>
      <c r="F866" t="s">
        <v>363</v>
      </c>
      <c r="G866" t="s">
        <v>364</v>
      </c>
      <c r="H866" t="s">
        <v>67</v>
      </c>
      <c r="I866" t="s">
        <v>1143</v>
      </c>
      <c r="J866" t="s">
        <v>34</v>
      </c>
      <c r="K866" t="s">
        <v>295</v>
      </c>
      <c r="L866" t="s">
        <v>77</v>
      </c>
      <c r="M866" t="s">
        <v>357</v>
      </c>
      <c r="N866">
        <f t="shared" si="65"/>
        <v>19</v>
      </c>
      <c r="O866">
        <f t="shared" si="66"/>
        <v>5</v>
      </c>
      <c r="P866" t="str">
        <f t="shared" si="67"/>
        <v>Provided Guidance</v>
      </c>
      <c r="Q866" t="str">
        <f t="shared" si="68"/>
        <v>May</v>
      </c>
      <c r="R866" t="str">
        <f t="shared" si="69"/>
        <v>Week 19</v>
      </c>
    </row>
    <row r="867" spans="1:18" x14ac:dyDescent="0.2">
      <c r="A867">
        <v>244159</v>
      </c>
      <c r="B867" s="2">
        <v>45421</v>
      </c>
      <c r="C867" t="s">
        <v>65</v>
      </c>
      <c r="D867" t="s">
        <v>66</v>
      </c>
      <c r="E867" t="s">
        <v>24</v>
      </c>
      <c r="F867" t="s">
        <v>25</v>
      </c>
      <c r="H867" t="s">
        <v>67</v>
      </c>
      <c r="I867" t="s">
        <v>1144</v>
      </c>
      <c r="J867" t="s">
        <v>34</v>
      </c>
      <c r="K867" t="s">
        <v>295</v>
      </c>
      <c r="L867" t="s">
        <v>77</v>
      </c>
      <c r="M867" t="s">
        <v>357</v>
      </c>
      <c r="N867">
        <f t="shared" si="65"/>
        <v>19</v>
      </c>
      <c r="O867">
        <f t="shared" si="66"/>
        <v>5</v>
      </c>
      <c r="P867" t="str">
        <f t="shared" si="67"/>
        <v>Provided Guidance</v>
      </c>
      <c r="Q867" t="str">
        <f t="shared" si="68"/>
        <v>May</v>
      </c>
      <c r="R867" t="str">
        <f t="shared" si="69"/>
        <v>Week 19</v>
      </c>
    </row>
    <row r="868" spans="1:18" x14ac:dyDescent="0.2">
      <c r="A868">
        <v>244160</v>
      </c>
      <c r="B868" s="2">
        <v>45421</v>
      </c>
      <c r="C868" t="s">
        <v>65</v>
      </c>
      <c r="D868" t="s">
        <v>66</v>
      </c>
      <c r="E868" t="s">
        <v>8</v>
      </c>
      <c r="F868" t="s">
        <v>9</v>
      </c>
      <c r="G868" t="s">
        <v>528</v>
      </c>
      <c r="H868" t="s">
        <v>67</v>
      </c>
      <c r="I868" t="s">
        <v>1145</v>
      </c>
      <c r="J868" t="s">
        <v>455</v>
      </c>
      <c r="K868" t="s">
        <v>456</v>
      </c>
      <c r="L868" t="s">
        <v>77</v>
      </c>
      <c r="M868" t="s">
        <v>1146</v>
      </c>
      <c r="N868">
        <f t="shared" si="65"/>
        <v>19</v>
      </c>
      <c r="O868">
        <f t="shared" si="66"/>
        <v>5</v>
      </c>
      <c r="P868" t="str">
        <f t="shared" si="67"/>
        <v>Provided Guidance</v>
      </c>
      <c r="Q868" t="str">
        <f t="shared" si="68"/>
        <v>May</v>
      </c>
      <c r="R868" t="str">
        <f t="shared" si="69"/>
        <v>Week 19</v>
      </c>
    </row>
    <row r="869" spans="1:18" x14ac:dyDescent="0.2">
      <c r="A869">
        <v>244161</v>
      </c>
      <c r="B869" s="2">
        <v>45421</v>
      </c>
      <c r="C869" t="s">
        <v>65</v>
      </c>
      <c r="D869" t="s">
        <v>66</v>
      </c>
      <c r="E869" t="s">
        <v>8</v>
      </c>
      <c r="F869" t="s">
        <v>9</v>
      </c>
      <c r="G869" t="s">
        <v>528</v>
      </c>
      <c r="H869" t="s">
        <v>67</v>
      </c>
      <c r="I869" t="s">
        <v>1147</v>
      </c>
      <c r="J869" t="s">
        <v>125</v>
      </c>
      <c r="K869" t="s">
        <v>126</v>
      </c>
      <c r="L869" t="s">
        <v>70</v>
      </c>
      <c r="N869">
        <f t="shared" si="65"/>
        <v>19</v>
      </c>
      <c r="O869">
        <f t="shared" si="66"/>
        <v>5</v>
      </c>
      <c r="P869" t="str">
        <f t="shared" si="67"/>
        <v>Observed Better</v>
      </c>
      <c r="Q869" t="str">
        <f t="shared" si="68"/>
        <v>May</v>
      </c>
      <c r="R869" t="str">
        <f t="shared" si="69"/>
        <v>Week 19</v>
      </c>
    </row>
    <row r="870" spans="1:18" x14ac:dyDescent="0.2">
      <c r="A870">
        <v>244162</v>
      </c>
      <c r="B870" s="2">
        <v>45421</v>
      </c>
      <c r="C870" t="s">
        <v>65</v>
      </c>
      <c r="D870" t="s">
        <v>66</v>
      </c>
      <c r="E870" t="s">
        <v>8</v>
      </c>
      <c r="F870" t="s">
        <v>9</v>
      </c>
      <c r="G870" t="s">
        <v>203</v>
      </c>
      <c r="H870" t="s">
        <v>67</v>
      </c>
      <c r="I870" t="s">
        <v>1148</v>
      </c>
      <c r="J870" t="s">
        <v>125</v>
      </c>
      <c r="K870" t="s">
        <v>126</v>
      </c>
      <c r="L870" t="s">
        <v>70</v>
      </c>
      <c r="N870">
        <f t="shared" si="65"/>
        <v>19</v>
      </c>
      <c r="O870">
        <f t="shared" si="66"/>
        <v>5</v>
      </c>
      <c r="P870" t="str">
        <f t="shared" si="67"/>
        <v>Observed Better</v>
      </c>
      <c r="Q870" t="str">
        <f t="shared" si="68"/>
        <v>May</v>
      </c>
      <c r="R870" t="str">
        <f t="shared" si="69"/>
        <v>Week 19</v>
      </c>
    </row>
    <row r="871" spans="1:18" x14ac:dyDescent="0.2">
      <c r="A871">
        <v>244163</v>
      </c>
      <c r="B871" s="2">
        <v>45422</v>
      </c>
      <c r="C871" t="s">
        <v>65</v>
      </c>
      <c r="D871" t="s">
        <v>66</v>
      </c>
      <c r="E871" t="s">
        <v>20</v>
      </c>
      <c r="F871" t="s">
        <v>21</v>
      </c>
      <c r="G871" t="s">
        <v>22</v>
      </c>
      <c r="H871" t="s">
        <v>67</v>
      </c>
      <c r="I871" t="s">
        <v>1149</v>
      </c>
      <c r="J871" t="s">
        <v>39</v>
      </c>
      <c r="K871" t="s">
        <v>244</v>
      </c>
      <c r="L871" t="s">
        <v>70</v>
      </c>
      <c r="N871">
        <f t="shared" si="65"/>
        <v>19</v>
      </c>
      <c r="O871">
        <f t="shared" si="66"/>
        <v>5</v>
      </c>
      <c r="P871" t="str">
        <f t="shared" si="67"/>
        <v>Observed Better</v>
      </c>
      <c r="Q871" t="str">
        <f t="shared" si="68"/>
        <v>May</v>
      </c>
      <c r="R871" t="str">
        <f t="shared" si="69"/>
        <v>Week 19</v>
      </c>
    </row>
    <row r="872" spans="1:18" x14ac:dyDescent="0.2">
      <c r="A872">
        <v>244164</v>
      </c>
      <c r="B872" s="2">
        <v>45422</v>
      </c>
      <c r="C872" t="s">
        <v>65</v>
      </c>
      <c r="D872" t="s">
        <v>66</v>
      </c>
      <c r="E872" t="s">
        <v>11</v>
      </c>
      <c r="F872" t="s">
        <v>12</v>
      </c>
      <c r="G872" t="s">
        <v>15</v>
      </c>
      <c r="H872" t="s">
        <v>67</v>
      </c>
      <c r="I872" t="s">
        <v>1150</v>
      </c>
      <c r="J872" t="s">
        <v>125</v>
      </c>
      <c r="K872" t="s">
        <v>126</v>
      </c>
      <c r="L872" t="s">
        <v>70</v>
      </c>
      <c r="N872">
        <f t="shared" si="65"/>
        <v>19</v>
      </c>
      <c r="O872">
        <f t="shared" si="66"/>
        <v>5</v>
      </c>
      <c r="P872" t="str">
        <f t="shared" si="67"/>
        <v>Observed Better</v>
      </c>
      <c r="Q872" t="str">
        <f t="shared" si="68"/>
        <v>May</v>
      </c>
      <c r="R872" t="str">
        <f t="shared" si="69"/>
        <v>Week 19</v>
      </c>
    </row>
    <row r="873" spans="1:18" x14ac:dyDescent="0.2">
      <c r="A873">
        <v>244165</v>
      </c>
      <c r="B873" s="2">
        <v>45422</v>
      </c>
      <c r="C873" t="s">
        <v>65</v>
      </c>
      <c r="D873" t="s">
        <v>66</v>
      </c>
      <c r="E873" t="s">
        <v>16</v>
      </c>
      <c r="F873" t="s">
        <v>162</v>
      </c>
      <c r="H873" t="s">
        <v>67</v>
      </c>
      <c r="I873" t="s">
        <v>1151</v>
      </c>
      <c r="J873" t="s">
        <v>125</v>
      </c>
      <c r="K873" t="s">
        <v>126</v>
      </c>
      <c r="L873" t="s">
        <v>70</v>
      </c>
      <c r="N873">
        <f t="shared" si="65"/>
        <v>19</v>
      </c>
      <c r="O873">
        <f t="shared" si="66"/>
        <v>5</v>
      </c>
      <c r="P873" t="str">
        <f t="shared" si="67"/>
        <v>Observed Better</v>
      </c>
      <c r="Q873" t="str">
        <f t="shared" si="68"/>
        <v>May</v>
      </c>
      <c r="R873" t="str">
        <f t="shared" si="69"/>
        <v>Week 19</v>
      </c>
    </row>
    <row r="874" spans="1:18" x14ac:dyDescent="0.2">
      <c r="A874">
        <v>244166</v>
      </c>
      <c r="B874" s="2">
        <v>45422</v>
      </c>
      <c r="C874" t="s">
        <v>65</v>
      </c>
      <c r="D874" t="s">
        <v>66</v>
      </c>
      <c r="E874" t="s">
        <v>20</v>
      </c>
      <c r="F874" t="s">
        <v>10</v>
      </c>
      <c r="G874" t="s">
        <v>23</v>
      </c>
      <c r="H874" t="s">
        <v>67</v>
      </c>
      <c r="I874" t="s">
        <v>1152</v>
      </c>
      <c r="J874" t="s">
        <v>125</v>
      </c>
      <c r="K874" t="s">
        <v>126</v>
      </c>
      <c r="L874" t="s">
        <v>70</v>
      </c>
      <c r="N874">
        <f t="shared" si="65"/>
        <v>19</v>
      </c>
      <c r="O874">
        <f t="shared" si="66"/>
        <v>5</v>
      </c>
      <c r="P874" t="str">
        <f t="shared" si="67"/>
        <v>Observed Better</v>
      </c>
      <c r="Q874" t="str">
        <f t="shared" si="68"/>
        <v>May</v>
      </c>
      <c r="R874" t="str">
        <f t="shared" si="69"/>
        <v>Week 19</v>
      </c>
    </row>
    <row r="875" spans="1:18" x14ac:dyDescent="0.2">
      <c r="A875">
        <v>244167</v>
      </c>
      <c r="B875" s="2">
        <v>45422</v>
      </c>
      <c r="C875" t="s">
        <v>65</v>
      </c>
      <c r="D875" t="s">
        <v>66</v>
      </c>
      <c r="E875" t="s">
        <v>20</v>
      </c>
      <c r="F875" t="s">
        <v>10</v>
      </c>
      <c r="G875" t="s">
        <v>23</v>
      </c>
      <c r="H875" t="s">
        <v>67</v>
      </c>
      <c r="I875" t="s">
        <v>1152</v>
      </c>
      <c r="J875" t="s">
        <v>125</v>
      </c>
      <c r="K875" t="s">
        <v>126</v>
      </c>
      <c r="L875" t="s">
        <v>70</v>
      </c>
      <c r="N875">
        <f t="shared" si="65"/>
        <v>19</v>
      </c>
      <c r="O875">
        <f t="shared" si="66"/>
        <v>5</v>
      </c>
      <c r="P875" t="str">
        <f t="shared" si="67"/>
        <v>Observed Better</v>
      </c>
      <c r="Q875" t="str">
        <f t="shared" si="68"/>
        <v>May</v>
      </c>
      <c r="R875" t="str">
        <f t="shared" si="69"/>
        <v>Week 19</v>
      </c>
    </row>
    <row r="876" spans="1:18" x14ac:dyDescent="0.2">
      <c r="A876">
        <v>244168</v>
      </c>
      <c r="B876" s="2">
        <v>45422</v>
      </c>
      <c r="C876" t="s">
        <v>65</v>
      </c>
      <c r="D876" t="s">
        <v>66</v>
      </c>
      <c r="E876" t="s">
        <v>20</v>
      </c>
      <c r="F876" t="s">
        <v>10</v>
      </c>
      <c r="G876" t="s">
        <v>23</v>
      </c>
      <c r="H876" t="s">
        <v>67</v>
      </c>
      <c r="I876" t="s">
        <v>1152</v>
      </c>
      <c r="J876" t="s">
        <v>125</v>
      </c>
      <c r="K876" t="s">
        <v>126</v>
      </c>
      <c r="L876" t="s">
        <v>70</v>
      </c>
      <c r="N876">
        <f t="shared" si="65"/>
        <v>19</v>
      </c>
      <c r="O876">
        <f t="shared" si="66"/>
        <v>5</v>
      </c>
      <c r="P876" t="str">
        <f t="shared" si="67"/>
        <v>Observed Better</v>
      </c>
      <c r="Q876" t="str">
        <f t="shared" si="68"/>
        <v>May</v>
      </c>
      <c r="R876" t="str">
        <f t="shared" si="69"/>
        <v>Week 19</v>
      </c>
    </row>
    <row r="877" spans="1:18" x14ac:dyDescent="0.2">
      <c r="A877">
        <v>244169</v>
      </c>
      <c r="B877" s="2">
        <v>45422</v>
      </c>
      <c r="C877" t="s">
        <v>65</v>
      </c>
      <c r="D877" t="s">
        <v>66</v>
      </c>
      <c r="E877" t="s">
        <v>16</v>
      </c>
      <c r="F877" t="s">
        <v>94</v>
      </c>
      <c r="H877" t="s">
        <v>67</v>
      </c>
      <c r="I877" t="s">
        <v>1153</v>
      </c>
      <c r="J877" t="s">
        <v>125</v>
      </c>
      <c r="K877" t="s">
        <v>126</v>
      </c>
      <c r="L877" t="s">
        <v>70</v>
      </c>
      <c r="N877">
        <f t="shared" si="65"/>
        <v>19</v>
      </c>
      <c r="O877">
        <f t="shared" si="66"/>
        <v>5</v>
      </c>
      <c r="P877" t="str">
        <f t="shared" si="67"/>
        <v>Observed Better</v>
      </c>
      <c r="Q877" t="str">
        <f t="shared" si="68"/>
        <v>May</v>
      </c>
      <c r="R877" t="str">
        <f t="shared" si="69"/>
        <v>Week 19</v>
      </c>
    </row>
    <row r="878" spans="1:18" x14ac:dyDescent="0.2">
      <c r="A878">
        <v>244170</v>
      </c>
      <c r="B878" s="2">
        <v>45422</v>
      </c>
      <c r="C878" t="s">
        <v>65</v>
      </c>
      <c r="D878" t="s">
        <v>66</v>
      </c>
      <c r="E878" t="s">
        <v>16</v>
      </c>
      <c r="F878" t="s">
        <v>94</v>
      </c>
      <c r="H878" t="s">
        <v>67</v>
      </c>
      <c r="I878" t="s">
        <v>1153</v>
      </c>
      <c r="J878" t="s">
        <v>125</v>
      </c>
      <c r="K878" t="s">
        <v>126</v>
      </c>
      <c r="L878" t="s">
        <v>70</v>
      </c>
      <c r="N878">
        <f t="shared" si="65"/>
        <v>19</v>
      </c>
      <c r="O878">
        <f t="shared" si="66"/>
        <v>5</v>
      </c>
      <c r="P878" t="str">
        <f t="shared" si="67"/>
        <v>Observed Better</v>
      </c>
      <c r="Q878" t="str">
        <f t="shared" si="68"/>
        <v>May</v>
      </c>
      <c r="R878" t="str">
        <f t="shared" si="69"/>
        <v>Week 19</v>
      </c>
    </row>
    <row r="879" spans="1:18" x14ac:dyDescent="0.2">
      <c r="A879">
        <v>244171</v>
      </c>
      <c r="B879" s="2">
        <v>45422</v>
      </c>
      <c r="C879" t="s">
        <v>65</v>
      </c>
      <c r="D879" t="s">
        <v>66</v>
      </c>
      <c r="E879" t="s">
        <v>16</v>
      </c>
      <c r="F879" t="s">
        <v>94</v>
      </c>
      <c r="H879" t="s">
        <v>67</v>
      </c>
      <c r="I879" t="s">
        <v>1153</v>
      </c>
      <c r="J879" t="s">
        <v>125</v>
      </c>
      <c r="K879" t="s">
        <v>126</v>
      </c>
      <c r="L879" t="s">
        <v>70</v>
      </c>
      <c r="N879">
        <f t="shared" si="65"/>
        <v>19</v>
      </c>
      <c r="O879">
        <f t="shared" si="66"/>
        <v>5</v>
      </c>
      <c r="P879" t="str">
        <f t="shared" si="67"/>
        <v>Observed Better</v>
      </c>
      <c r="Q879" t="str">
        <f t="shared" si="68"/>
        <v>May</v>
      </c>
      <c r="R879" t="str">
        <f t="shared" si="69"/>
        <v>Week 19</v>
      </c>
    </row>
    <row r="880" spans="1:18" x14ac:dyDescent="0.2">
      <c r="A880">
        <v>244172</v>
      </c>
      <c r="B880" s="2">
        <v>45422</v>
      </c>
      <c r="C880" t="s">
        <v>65</v>
      </c>
      <c r="D880" t="s">
        <v>66</v>
      </c>
      <c r="E880" t="s">
        <v>8</v>
      </c>
      <c r="F880" t="s">
        <v>9</v>
      </c>
      <c r="G880" t="s">
        <v>203</v>
      </c>
      <c r="H880" t="s">
        <v>67</v>
      </c>
      <c r="I880" t="s">
        <v>1154</v>
      </c>
      <c r="J880" t="s">
        <v>997</v>
      </c>
      <c r="K880" t="s">
        <v>998</v>
      </c>
      <c r="L880" t="s">
        <v>70</v>
      </c>
      <c r="N880">
        <f t="shared" si="65"/>
        <v>19</v>
      </c>
      <c r="O880">
        <f t="shared" si="66"/>
        <v>5</v>
      </c>
      <c r="P880" t="str">
        <f t="shared" si="67"/>
        <v>Observed Better</v>
      </c>
      <c r="Q880" t="str">
        <f t="shared" si="68"/>
        <v>May</v>
      </c>
      <c r="R880" t="str">
        <f t="shared" si="69"/>
        <v>Week 19</v>
      </c>
    </row>
    <row r="881" spans="1:18" x14ac:dyDescent="0.2">
      <c r="A881">
        <v>244173</v>
      </c>
      <c r="B881" s="2">
        <v>45422</v>
      </c>
      <c r="C881" t="s">
        <v>65</v>
      </c>
      <c r="D881" t="s">
        <v>66</v>
      </c>
      <c r="E881" t="s">
        <v>8</v>
      </c>
      <c r="F881" t="s">
        <v>9</v>
      </c>
      <c r="G881" t="s">
        <v>203</v>
      </c>
      <c r="H881" t="s">
        <v>67</v>
      </c>
      <c r="I881" t="s">
        <v>1154</v>
      </c>
      <c r="J881" t="s">
        <v>997</v>
      </c>
      <c r="K881" t="s">
        <v>998</v>
      </c>
      <c r="L881" t="s">
        <v>70</v>
      </c>
      <c r="N881">
        <f t="shared" si="65"/>
        <v>19</v>
      </c>
      <c r="O881">
        <f t="shared" si="66"/>
        <v>5</v>
      </c>
      <c r="P881" t="str">
        <f t="shared" si="67"/>
        <v>Observed Better</v>
      </c>
      <c r="Q881" t="str">
        <f t="shared" si="68"/>
        <v>May</v>
      </c>
      <c r="R881" t="str">
        <f t="shared" si="69"/>
        <v>Week 19</v>
      </c>
    </row>
    <row r="882" spans="1:18" x14ac:dyDescent="0.2">
      <c r="A882">
        <v>244174</v>
      </c>
      <c r="B882" s="2">
        <v>45422</v>
      </c>
      <c r="C882" t="s">
        <v>65</v>
      </c>
      <c r="D882" t="s">
        <v>66</v>
      </c>
      <c r="E882" t="s">
        <v>8</v>
      </c>
      <c r="F882" t="s">
        <v>9</v>
      </c>
      <c r="G882" t="s">
        <v>203</v>
      </c>
      <c r="H882" t="s">
        <v>67</v>
      </c>
      <c r="I882" t="s">
        <v>1154</v>
      </c>
      <c r="J882" t="s">
        <v>997</v>
      </c>
      <c r="K882" t="s">
        <v>998</v>
      </c>
      <c r="L882" t="s">
        <v>70</v>
      </c>
      <c r="N882">
        <f t="shared" si="65"/>
        <v>19</v>
      </c>
      <c r="O882">
        <f t="shared" si="66"/>
        <v>5</v>
      </c>
      <c r="P882" t="str">
        <f t="shared" si="67"/>
        <v>Observed Better</v>
      </c>
      <c r="Q882" t="str">
        <f t="shared" si="68"/>
        <v>May</v>
      </c>
      <c r="R882" t="str">
        <f t="shared" si="69"/>
        <v>Week 19</v>
      </c>
    </row>
    <row r="883" spans="1:18" x14ac:dyDescent="0.2">
      <c r="A883">
        <v>244175</v>
      </c>
      <c r="B883" s="2">
        <v>45422</v>
      </c>
      <c r="C883" t="s">
        <v>65</v>
      </c>
      <c r="D883" t="s">
        <v>66</v>
      </c>
      <c r="E883" t="s">
        <v>24</v>
      </c>
      <c r="F883" t="s">
        <v>10</v>
      </c>
      <c r="G883" t="s">
        <v>26</v>
      </c>
      <c r="H883" t="s">
        <v>67</v>
      </c>
      <c r="I883" t="s">
        <v>1155</v>
      </c>
      <c r="J883" t="s">
        <v>39</v>
      </c>
      <c r="K883" t="s">
        <v>244</v>
      </c>
      <c r="L883" t="s">
        <v>70</v>
      </c>
      <c r="N883">
        <f t="shared" si="65"/>
        <v>19</v>
      </c>
      <c r="O883">
        <f t="shared" si="66"/>
        <v>5</v>
      </c>
      <c r="P883" t="str">
        <f t="shared" si="67"/>
        <v>Observed Better</v>
      </c>
      <c r="Q883" t="str">
        <f t="shared" si="68"/>
        <v>May</v>
      </c>
      <c r="R883" t="str">
        <f t="shared" si="69"/>
        <v>Week 19</v>
      </c>
    </row>
    <row r="884" spans="1:18" x14ac:dyDescent="0.2">
      <c r="A884">
        <v>244176</v>
      </c>
      <c r="B884" s="2">
        <v>45422</v>
      </c>
      <c r="C884" t="s">
        <v>65</v>
      </c>
      <c r="D884" t="s">
        <v>66</v>
      </c>
      <c r="E884" t="s">
        <v>8</v>
      </c>
      <c r="F884" t="s">
        <v>9</v>
      </c>
      <c r="G884" t="s">
        <v>203</v>
      </c>
      <c r="H884" t="s">
        <v>67</v>
      </c>
      <c r="I884" t="s">
        <v>1156</v>
      </c>
      <c r="J884" t="s">
        <v>39</v>
      </c>
      <c r="K884" t="s">
        <v>244</v>
      </c>
      <c r="L884" t="s">
        <v>70</v>
      </c>
      <c r="N884">
        <f t="shared" si="65"/>
        <v>19</v>
      </c>
      <c r="O884">
        <f t="shared" si="66"/>
        <v>5</v>
      </c>
      <c r="P884" t="str">
        <f t="shared" si="67"/>
        <v>Observed Better</v>
      </c>
      <c r="Q884" t="str">
        <f t="shared" si="68"/>
        <v>May</v>
      </c>
      <c r="R884" t="str">
        <f t="shared" si="69"/>
        <v>Week 19</v>
      </c>
    </row>
    <row r="885" spans="1:18" x14ac:dyDescent="0.2">
      <c r="A885">
        <v>244177</v>
      </c>
      <c r="B885" s="2">
        <v>45422</v>
      </c>
      <c r="C885" t="s">
        <v>65</v>
      </c>
      <c r="D885" t="s">
        <v>66</v>
      </c>
      <c r="E885" t="s">
        <v>20</v>
      </c>
      <c r="F885" t="s">
        <v>21</v>
      </c>
      <c r="G885" t="s">
        <v>22</v>
      </c>
      <c r="H885" t="s">
        <v>67</v>
      </c>
      <c r="I885" t="s">
        <v>1157</v>
      </c>
      <c r="J885" t="s">
        <v>39</v>
      </c>
      <c r="K885" t="s">
        <v>244</v>
      </c>
      <c r="L885" t="s">
        <v>70</v>
      </c>
      <c r="N885">
        <f t="shared" si="65"/>
        <v>19</v>
      </c>
      <c r="O885">
        <f t="shared" si="66"/>
        <v>5</v>
      </c>
      <c r="P885" t="str">
        <f t="shared" si="67"/>
        <v>Observed Better</v>
      </c>
      <c r="Q885" t="str">
        <f t="shared" si="68"/>
        <v>May</v>
      </c>
      <c r="R885" t="str">
        <f t="shared" si="69"/>
        <v>Week 19</v>
      </c>
    </row>
    <row r="886" spans="1:18" x14ac:dyDescent="0.2">
      <c r="A886">
        <v>244178</v>
      </c>
      <c r="B886" s="2">
        <v>45422</v>
      </c>
      <c r="C886" t="s">
        <v>65</v>
      </c>
      <c r="D886" t="s">
        <v>66</v>
      </c>
      <c r="E886" t="s">
        <v>20</v>
      </c>
      <c r="F886" t="s">
        <v>21</v>
      </c>
      <c r="G886" t="s">
        <v>22</v>
      </c>
      <c r="H886" t="s">
        <v>67</v>
      </c>
      <c r="I886" t="s">
        <v>1157</v>
      </c>
      <c r="J886" t="s">
        <v>39</v>
      </c>
      <c r="K886" t="s">
        <v>244</v>
      </c>
      <c r="L886" t="s">
        <v>70</v>
      </c>
      <c r="N886">
        <f t="shared" si="65"/>
        <v>19</v>
      </c>
      <c r="O886">
        <f t="shared" si="66"/>
        <v>5</v>
      </c>
      <c r="P886" t="str">
        <f t="shared" si="67"/>
        <v>Observed Better</v>
      </c>
      <c r="Q886" t="str">
        <f t="shared" si="68"/>
        <v>May</v>
      </c>
      <c r="R886" t="str">
        <f t="shared" si="69"/>
        <v>Week 19</v>
      </c>
    </row>
    <row r="887" spans="1:18" x14ac:dyDescent="0.2">
      <c r="A887">
        <v>244179</v>
      </c>
      <c r="B887" s="2">
        <v>45422</v>
      </c>
      <c r="C887" t="s">
        <v>65</v>
      </c>
      <c r="D887" t="s">
        <v>66</v>
      </c>
      <c r="E887" t="s">
        <v>8</v>
      </c>
      <c r="F887" t="s">
        <v>9</v>
      </c>
      <c r="G887" t="s">
        <v>203</v>
      </c>
      <c r="H887" t="s">
        <v>67</v>
      </c>
      <c r="I887" t="s">
        <v>1158</v>
      </c>
      <c r="J887" t="s">
        <v>125</v>
      </c>
      <c r="K887" t="s">
        <v>126</v>
      </c>
      <c r="L887" t="s">
        <v>70</v>
      </c>
      <c r="N887">
        <f t="shared" si="65"/>
        <v>19</v>
      </c>
      <c r="O887">
        <f t="shared" si="66"/>
        <v>5</v>
      </c>
      <c r="P887" t="str">
        <f t="shared" si="67"/>
        <v>Observed Better</v>
      </c>
      <c r="Q887" t="str">
        <f t="shared" si="68"/>
        <v>May</v>
      </c>
      <c r="R887" t="str">
        <f t="shared" si="69"/>
        <v>Week 19</v>
      </c>
    </row>
    <row r="888" spans="1:18" x14ac:dyDescent="0.2">
      <c r="A888">
        <v>244180</v>
      </c>
      <c r="B888" s="2">
        <v>45422</v>
      </c>
      <c r="C888" t="s">
        <v>65</v>
      </c>
      <c r="D888" t="s">
        <v>66</v>
      </c>
      <c r="E888" t="s">
        <v>8</v>
      </c>
      <c r="F888" t="s">
        <v>9</v>
      </c>
      <c r="G888" t="s">
        <v>203</v>
      </c>
      <c r="H888" t="s">
        <v>67</v>
      </c>
      <c r="I888" t="s">
        <v>1158</v>
      </c>
      <c r="J888" t="s">
        <v>125</v>
      </c>
      <c r="K888" t="s">
        <v>126</v>
      </c>
      <c r="L888" t="s">
        <v>70</v>
      </c>
      <c r="N888">
        <f t="shared" si="65"/>
        <v>19</v>
      </c>
      <c r="O888">
        <f t="shared" si="66"/>
        <v>5</v>
      </c>
      <c r="P888" t="str">
        <f t="shared" si="67"/>
        <v>Observed Better</v>
      </c>
      <c r="Q888" t="str">
        <f t="shared" si="68"/>
        <v>May</v>
      </c>
      <c r="R888" t="str">
        <f t="shared" si="69"/>
        <v>Week 19</v>
      </c>
    </row>
    <row r="889" spans="1:18" x14ac:dyDescent="0.2">
      <c r="A889">
        <v>244181</v>
      </c>
      <c r="B889" s="2">
        <v>45422</v>
      </c>
      <c r="C889" t="s">
        <v>65</v>
      </c>
      <c r="D889" t="s">
        <v>66</v>
      </c>
      <c r="E889" t="s">
        <v>8</v>
      </c>
      <c r="F889" t="s">
        <v>9</v>
      </c>
      <c r="G889" t="s">
        <v>203</v>
      </c>
      <c r="H889" t="s">
        <v>67</v>
      </c>
      <c r="I889" t="s">
        <v>1158</v>
      </c>
      <c r="J889" t="s">
        <v>125</v>
      </c>
      <c r="K889" t="s">
        <v>126</v>
      </c>
      <c r="L889" t="s">
        <v>70</v>
      </c>
      <c r="N889">
        <f t="shared" si="65"/>
        <v>19</v>
      </c>
      <c r="O889">
        <f t="shared" si="66"/>
        <v>5</v>
      </c>
      <c r="P889" t="str">
        <f t="shared" si="67"/>
        <v>Observed Better</v>
      </c>
      <c r="Q889" t="str">
        <f t="shared" si="68"/>
        <v>May</v>
      </c>
      <c r="R889" t="str">
        <f t="shared" si="69"/>
        <v>Week 19</v>
      </c>
    </row>
    <row r="890" spans="1:18" x14ac:dyDescent="0.2">
      <c r="A890">
        <v>244182</v>
      </c>
      <c r="B890" s="2">
        <v>45422</v>
      </c>
      <c r="C890" t="s">
        <v>65</v>
      </c>
      <c r="D890" t="s">
        <v>66</v>
      </c>
      <c r="E890" t="s">
        <v>11</v>
      </c>
      <c r="F890" t="s">
        <v>220</v>
      </c>
      <c r="H890" t="s">
        <v>67</v>
      </c>
      <c r="I890" t="s">
        <v>1159</v>
      </c>
      <c r="J890" t="s">
        <v>125</v>
      </c>
      <c r="K890" t="s">
        <v>126</v>
      </c>
      <c r="L890" t="s">
        <v>70</v>
      </c>
      <c r="N890">
        <f t="shared" si="65"/>
        <v>19</v>
      </c>
      <c r="O890">
        <f t="shared" si="66"/>
        <v>5</v>
      </c>
      <c r="P890" t="str">
        <f t="shared" si="67"/>
        <v>Observed Better</v>
      </c>
      <c r="Q890" t="str">
        <f t="shared" si="68"/>
        <v>May</v>
      </c>
      <c r="R890" t="str">
        <f t="shared" si="69"/>
        <v>Week 19</v>
      </c>
    </row>
    <row r="891" spans="1:18" x14ac:dyDescent="0.2">
      <c r="A891">
        <v>244183</v>
      </c>
      <c r="B891" s="2">
        <v>45422</v>
      </c>
      <c r="C891" t="s">
        <v>65</v>
      </c>
      <c r="D891" t="s">
        <v>66</v>
      </c>
      <c r="E891" t="s">
        <v>11</v>
      </c>
      <c r="F891" t="s">
        <v>220</v>
      </c>
      <c r="H891" t="s">
        <v>67</v>
      </c>
      <c r="I891" t="s">
        <v>1159</v>
      </c>
      <c r="J891" t="s">
        <v>125</v>
      </c>
      <c r="K891" t="s">
        <v>126</v>
      </c>
      <c r="L891" t="s">
        <v>70</v>
      </c>
      <c r="N891">
        <f t="shared" si="65"/>
        <v>19</v>
      </c>
      <c r="O891">
        <f t="shared" si="66"/>
        <v>5</v>
      </c>
      <c r="P891" t="str">
        <f t="shared" si="67"/>
        <v>Observed Better</v>
      </c>
      <c r="Q891" t="str">
        <f t="shared" si="68"/>
        <v>May</v>
      </c>
      <c r="R891" t="str">
        <f t="shared" si="69"/>
        <v>Week 19</v>
      </c>
    </row>
    <row r="892" spans="1:18" x14ac:dyDescent="0.2">
      <c r="A892">
        <v>244184</v>
      </c>
      <c r="B892" s="2">
        <v>45422</v>
      </c>
      <c r="C892" t="s">
        <v>65</v>
      </c>
      <c r="D892" t="s">
        <v>66</v>
      </c>
      <c r="E892" t="s">
        <v>11</v>
      </c>
      <c r="F892" t="s">
        <v>220</v>
      </c>
      <c r="H892" t="s">
        <v>67</v>
      </c>
      <c r="I892" t="s">
        <v>1159</v>
      </c>
      <c r="J892" t="s">
        <v>125</v>
      </c>
      <c r="K892" t="s">
        <v>126</v>
      </c>
      <c r="L892" t="s">
        <v>70</v>
      </c>
      <c r="N892">
        <f t="shared" si="65"/>
        <v>19</v>
      </c>
      <c r="O892">
        <f t="shared" si="66"/>
        <v>5</v>
      </c>
      <c r="P892" t="str">
        <f t="shared" si="67"/>
        <v>Observed Better</v>
      </c>
      <c r="Q892" t="str">
        <f t="shared" si="68"/>
        <v>May</v>
      </c>
      <c r="R892" t="str">
        <f t="shared" si="69"/>
        <v>Week 19</v>
      </c>
    </row>
    <row r="893" spans="1:18" x14ac:dyDescent="0.2">
      <c r="A893">
        <v>244185</v>
      </c>
      <c r="B893" s="2">
        <v>45422</v>
      </c>
      <c r="C893" t="s">
        <v>65</v>
      </c>
      <c r="D893" t="s">
        <v>66</v>
      </c>
      <c r="E893" t="s">
        <v>8</v>
      </c>
      <c r="F893" t="s">
        <v>9</v>
      </c>
      <c r="G893" t="s">
        <v>10</v>
      </c>
      <c r="H893" t="s">
        <v>67</v>
      </c>
      <c r="I893" t="s">
        <v>1160</v>
      </c>
      <c r="J893" t="s">
        <v>34</v>
      </c>
      <c r="K893" t="s">
        <v>295</v>
      </c>
      <c r="L893" t="s">
        <v>77</v>
      </c>
      <c r="M893" t="s">
        <v>357</v>
      </c>
      <c r="N893">
        <f t="shared" si="65"/>
        <v>19</v>
      </c>
      <c r="O893">
        <f t="shared" si="66"/>
        <v>5</v>
      </c>
      <c r="P893" t="str">
        <f t="shared" si="67"/>
        <v>Provided Guidance</v>
      </c>
      <c r="Q893" t="str">
        <f t="shared" si="68"/>
        <v>May</v>
      </c>
      <c r="R893" t="str">
        <f t="shared" si="69"/>
        <v>Week 19</v>
      </c>
    </row>
    <row r="894" spans="1:18" x14ac:dyDescent="0.2">
      <c r="A894">
        <v>244186</v>
      </c>
      <c r="B894" s="2">
        <v>45422</v>
      </c>
      <c r="C894" t="s">
        <v>65</v>
      </c>
      <c r="D894" t="s">
        <v>66</v>
      </c>
      <c r="E894" t="s">
        <v>8</v>
      </c>
      <c r="F894" t="s">
        <v>9</v>
      </c>
      <c r="G894" t="s">
        <v>11</v>
      </c>
      <c r="H894" t="s">
        <v>67</v>
      </c>
      <c r="I894" t="s">
        <v>1161</v>
      </c>
      <c r="J894" t="s">
        <v>251</v>
      </c>
      <c r="K894" t="s">
        <v>252</v>
      </c>
      <c r="L894" t="s">
        <v>77</v>
      </c>
      <c r="N894">
        <f t="shared" si="65"/>
        <v>19</v>
      </c>
      <c r="O894">
        <f t="shared" si="66"/>
        <v>5</v>
      </c>
      <c r="P894" t="str">
        <f t="shared" si="67"/>
        <v>Provided Guidance</v>
      </c>
      <c r="Q894" t="str">
        <f t="shared" si="68"/>
        <v>May</v>
      </c>
      <c r="R894" t="str">
        <f t="shared" si="69"/>
        <v>Week 19</v>
      </c>
    </row>
    <row r="895" spans="1:18" x14ac:dyDescent="0.2">
      <c r="A895">
        <v>244187</v>
      </c>
      <c r="B895" s="2">
        <v>45422</v>
      </c>
      <c r="C895" t="s">
        <v>65</v>
      </c>
      <c r="D895" t="s">
        <v>66</v>
      </c>
      <c r="E895" t="s">
        <v>8</v>
      </c>
      <c r="F895" t="s">
        <v>9</v>
      </c>
      <c r="G895" t="s">
        <v>203</v>
      </c>
      <c r="H895" t="s">
        <v>67</v>
      </c>
      <c r="I895" t="s">
        <v>1162</v>
      </c>
      <c r="J895" t="s">
        <v>251</v>
      </c>
      <c r="K895" t="s">
        <v>252</v>
      </c>
      <c r="L895" t="s">
        <v>77</v>
      </c>
      <c r="N895">
        <f t="shared" si="65"/>
        <v>19</v>
      </c>
      <c r="O895">
        <f t="shared" si="66"/>
        <v>5</v>
      </c>
      <c r="P895" t="str">
        <f t="shared" si="67"/>
        <v>Provided Guidance</v>
      </c>
      <c r="Q895" t="str">
        <f t="shared" si="68"/>
        <v>May</v>
      </c>
      <c r="R895" t="str">
        <f t="shared" si="69"/>
        <v>Week 19</v>
      </c>
    </row>
    <row r="896" spans="1:18" x14ac:dyDescent="0.2">
      <c r="A896">
        <v>244188</v>
      </c>
      <c r="B896" s="2">
        <v>45422</v>
      </c>
      <c r="C896" t="s">
        <v>65</v>
      </c>
      <c r="D896" t="s">
        <v>66</v>
      </c>
      <c r="E896" t="s">
        <v>8</v>
      </c>
      <c r="F896" t="s">
        <v>9</v>
      </c>
      <c r="G896" t="s">
        <v>203</v>
      </c>
      <c r="H896" t="s">
        <v>67</v>
      </c>
      <c r="I896" t="s">
        <v>1163</v>
      </c>
      <c r="J896" t="s">
        <v>251</v>
      </c>
      <c r="K896" t="s">
        <v>252</v>
      </c>
      <c r="L896" t="s">
        <v>77</v>
      </c>
      <c r="N896">
        <f t="shared" si="65"/>
        <v>19</v>
      </c>
      <c r="O896">
        <f t="shared" si="66"/>
        <v>5</v>
      </c>
      <c r="P896" t="str">
        <f t="shared" si="67"/>
        <v>Provided Guidance</v>
      </c>
      <c r="Q896" t="str">
        <f t="shared" si="68"/>
        <v>May</v>
      </c>
      <c r="R896" t="str">
        <f t="shared" si="69"/>
        <v>Week 19</v>
      </c>
    </row>
    <row r="897" spans="1:18" x14ac:dyDescent="0.2">
      <c r="A897">
        <v>244189</v>
      </c>
      <c r="B897" s="2">
        <v>45422</v>
      </c>
      <c r="C897" t="s">
        <v>65</v>
      </c>
      <c r="D897" t="s">
        <v>66</v>
      </c>
      <c r="E897" t="s">
        <v>11</v>
      </c>
      <c r="F897" t="s">
        <v>220</v>
      </c>
      <c r="H897" t="s">
        <v>67</v>
      </c>
      <c r="I897" t="s">
        <v>1164</v>
      </c>
      <c r="J897" t="s">
        <v>759</v>
      </c>
      <c r="K897" t="s">
        <v>760</v>
      </c>
      <c r="L897" t="s">
        <v>77</v>
      </c>
      <c r="N897">
        <f t="shared" si="65"/>
        <v>19</v>
      </c>
      <c r="O897">
        <f t="shared" si="66"/>
        <v>5</v>
      </c>
      <c r="P897" t="str">
        <f t="shared" si="67"/>
        <v>Provided Guidance</v>
      </c>
      <c r="Q897" t="str">
        <f t="shared" si="68"/>
        <v>May</v>
      </c>
      <c r="R897" t="str">
        <f t="shared" si="69"/>
        <v>Week 19</v>
      </c>
    </row>
    <row r="898" spans="1:18" x14ac:dyDescent="0.2">
      <c r="A898">
        <v>244190</v>
      </c>
      <c r="B898" s="2">
        <v>45422</v>
      </c>
      <c r="C898" t="s">
        <v>65</v>
      </c>
      <c r="D898" t="s">
        <v>66</v>
      </c>
      <c r="E898" t="s">
        <v>11</v>
      </c>
      <c r="F898" t="s">
        <v>220</v>
      </c>
      <c r="H898" t="s">
        <v>67</v>
      </c>
      <c r="I898" t="s">
        <v>1164</v>
      </c>
      <c r="J898" t="s">
        <v>759</v>
      </c>
      <c r="K898" t="s">
        <v>760</v>
      </c>
      <c r="L898" t="s">
        <v>77</v>
      </c>
      <c r="N898">
        <f t="shared" ref="N898:N961" si="70">IF(ISBLANK(B898)," ",WEEKNUM(B898))</f>
        <v>19</v>
      </c>
      <c r="O898">
        <f t="shared" ref="O898:O961" si="71">IF(ISBLANK(B898)," ",MONTH(B898))</f>
        <v>5</v>
      </c>
      <c r="P898" t="str">
        <f t="shared" ref="P898:P961" si="72">IF(ISNUMBER(SEARCH("provided",L898)),"Provided Guidance","Observed Better")</f>
        <v>Provided Guidance</v>
      </c>
      <c r="Q898" t="str">
        <f t="shared" ref="Q898:Q961" si="73">IF(O898=" "," ",TEXT(O898*29,"mmmm"))</f>
        <v>May</v>
      </c>
      <c r="R898" t="str">
        <f t="shared" ref="R898:R961" si="74">IF(N898=" "," ",_xlfn.CONCAT("Week ",+TEXT(N898,"0")))</f>
        <v>Week 19</v>
      </c>
    </row>
    <row r="899" spans="1:18" x14ac:dyDescent="0.2">
      <c r="A899">
        <v>244191</v>
      </c>
      <c r="B899" s="2">
        <v>45422</v>
      </c>
      <c r="C899" t="s">
        <v>65</v>
      </c>
      <c r="D899" t="s">
        <v>66</v>
      </c>
      <c r="E899" t="s">
        <v>11</v>
      </c>
      <c r="F899" t="s">
        <v>220</v>
      </c>
      <c r="H899" t="s">
        <v>67</v>
      </c>
      <c r="I899" t="s">
        <v>1165</v>
      </c>
      <c r="J899" t="s">
        <v>759</v>
      </c>
      <c r="K899" t="s">
        <v>760</v>
      </c>
      <c r="L899" t="s">
        <v>77</v>
      </c>
      <c r="N899">
        <f t="shared" si="70"/>
        <v>19</v>
      </c>
      <c r="O899">
        <f t="shared" si="71"/>
        <v>5</v>
      </c>
      <c r="P899" t="str">
        <f t="shared" si="72"/>
        <v>Provided Guidance</v>
      </c>
      <c r="Q899" t="str">
        <f t="shared" si="73"/>
        <v>May</v>
      </c>
      <c r="R899" t="str">
        <f t="shared" si="74"/>
        <v>Week 19</v>
      </c>
    </row>
    <row r="900" spans="1:18" x14ac:dyDescent="0.2">
      <c r="A900">
        <v>244192</v>
      </c>
      <c r="B900" s="2">
        <v>45422</v>
      </c>
      <c r="C900" t="s">
        <v>65</v>
      </c>
      <c r="D900" t="s">
        <v>66</v>
      </c>
      <c r="E900" t="s">
        <v>11</v>
      </c>
      <c r="F900" t="s">
        <v>220</v>
      </c>
      <c r="H900" t="s">
        <v>67</v>
      </c>
      <c r="I900" t="s">
        <v>1166</v>
      </c>
      <c r="J900" t="s">
        <v>759</v>
      </c>
      <c r="K900" t="s">
        <v>760</v>
      </c>
      <c r="L900" t="s">
        <v>70</v>
      </c>
      <c r="N900">
        <f t="shared" si="70"/>
        <v>19</v>
      </c>
      <c r="O900">
        <f t="shared" si="71"/>
        <v>5</v>
      </c>
      <c r="P900" t="str">
        <f t="shared" si="72"/>
        <v>Observed Better</v>
      </c>
      <c r="Q900" t="str">
        <f t="shared" si="73"/>
        <v>May</v>
      </c>
      <c r="R900" t="str">
        <f t="shared" si="74"/>
        <v>Week 19</v>
      </c>
    </row>
    <row r="901" spans="1:18" x14ac:dyDescent="0.2">
      <c r="A901">
        <v>244193</v>
      </c>
      <c r="B901" s="2">
        <v>45422</v>
      </c>
      <c r="C901" t="s">
        <v>65</v>
      </c>
      <c r="D901" t="s">
        <v>66</v>
      </c>
      <c r="E901" t="s">
        <v>11</v>
      </c>
      <c r="F901" t="s">
        <v>220</v>
      </c>
      <c r="H901" t="s">
        <v>67</v>
      </c>
      <c r="I901" t="s">
        <v>1166</v>
      </c>
      <c r="J901" t="s">
        <v>759</v>
      </c>
      <c r="K901" t="s">
        <v>760</v>
      </c>
      <c r="L901" t="s">
        <v>70</v>
      </c>
      <c r="N901">
        <f t="shared" si="70"/>
        <v>19</v>
      </c>
      <c r="O901">
        <f t="shared" si="71"/>
        <v>5</v>
      </c>
      <c r="P901" t="str">
        <f t="shared" si="72"/>
        <v>Observed Better</v>
      </c>
      <c r="Q901" t="str">
        <f t="shared" si="73"/>
        <v>May</v>
      </c>
      <c r="R901" t="str">
        <f t="shared" si="74"/>
        <v>Week 19</v>
      </c>
    </row>
    <row r="902" spans="1:18" x14ac:dyDescent="0.2">
      <c r="A902">
        <v>244194</v>
      </c>
      <c r="B902" s="2">
        <v>45422</v>
      </c>
      <c r="C902" t="s">
        <v>65</v>
      </c>
      <c r="D902" t="s">
        <v>66</v>
      </c>
      <c r="E902" t="s">
        <v>11</v>
      </c>
      <c r="F902" t="s">
        <v>220</v>
      </c>
      <c r="H902" t="s">
        <v>67</v>
      </c>
      <c r="I902" t="s">
        <v>1167</v>
      </c>
      <c r="J902" t="s">
        <v>759</v>
      </c>
      <c r="K902" t="s">
        <v>760</v>
      </c>
      <c r="L902" t="s">
        <v>70</v>
      </c>
      <c r="N902">
        <f t="shared" si="70"/>
        <v>19</v>
      </c>
      <c r="O902">
        <f t="shared" si="71"/>
        <v>5</v>
      </c>
      <c r="P902" t="str">
        <f t="shared" si="72"/>
        <v>Observed Better</v>
      </c>
      <c r="Q902" t="str">
        <f t="shared" si="73"/>
        <v>May</v>
      </c>
      <c r="R902" t="str">
        <f t="shared" si="74"/>
        <v>Week 19</v>
      </c>
    </row>
    <row r="903" spans="1:18" x14ac:dyDescent="0.2">
      <c r="A903">
        <v>244195</v>
      </c>
      <c r="B903" s="2">
        <v>45422</v>
      </c>
      <c r="C903" t="s">
        <v>65</v>
      </c>
      <c r="D903" t="s">
        <v>66</v>
      </c>
      <c r="E903" t="s">
        <v>11</v>
      </c>
      <c r="F903" t="s">
        <v>220</v>
      </c>
      <c r="H903" t="s">
        <v>67</v>
      </c>
      <c r="I903" t="s">
        <v>1167</v>
      </c>
      <c r="J903" t="s">
        <v>759</v>
      </c>
      <c r="K903" t="s">
        <v>760</v>
      </c>
      <c r="L903" t="s">
        <v>70</v>
      </c>
      <c r="N903">
        <f t="shared" si="70"/>
        <v>19</v>
      </c>
      <c r="O903">
        <f t="shared" si="71"/>
        <v>5</v>
      </c>
      <c r="P903" t="str">
        <f t="shared" si="72"/>
        <v>Observed Better</v>
      </c>
      <c r="Q903" t="str">
        <f t="shared" si="73"/>
        <v>May</v>
      </c>
      <c r="R903" t="str">
        <f t="shared" si="74"/>
        <v>Week 19</v>
      </c>
    </row>
    <row r="904" spans="1:18" x14ac:dyDescent="0.2">
      <c r="A904">
        <v>244196</v>
      </c>
      <c r="B904" s="2">
        <v>45422</v>
      </c>
      <c r="C904" t="s">
        <v>65</v>
      </c>
      <c r="D904" t="s">
        <v>66</v>
      </c>
      <c r="E904" t="s">
        <v>11</v>
      </c>
      <c r="F904" t="s">
        <v>220</v>
      </c>
      <c r="H904" t="s">
        <v>67</v>
      </c>
      <c r="I904" t="s">
        <v>1168</v>
      </c>
      <c r="J904" t="s">
        <v>759</v>
      </c>
      <c r="K904" t="s">
        <v>760</v>
      </c>
      <c r="L904" t="s">
        <v>77</v>
      </c>
      <c r="N904">
        <f t="shared" si="70"/>
        <v>19</v>
      </c>
      <c r="O904">
        <f t="shared" si="71"/>
        <v>5</v>
      </c>
      <c r="P904" t="str">
        <f t="shared" si="72"/>
        <v>Provided Guidance</v>
      </c>
      <c r="Q904" t="str">
        <f t="shared" si="73"/>
        <v>May</v>
      </c>
      <c r="R904" t="str">
        <f t="shared" si="74"/>
        <v>Week 19</v>
      </c>
    </row>
    <row r="905" spans="1:18" x14ac:dyDescent="0.2">
      <c r="A905">
        <v>244197</v>
      </c>
      <c r="B905" s="2">
        <v>45422</v>
      </c>
      <c r="C905" t="s">
        <v>65</v>
      </c>
      <c r="D905" t="s">
        <v>66</v>
      </c>
      <c r="E905" t="s">
        <v>11</v>
      </c>
      <c r="F905" t="s">
        <v>220</v>
      </c>
      <c r="H905" t="s">
        <v>67</v>
      </c>
      <c r="I905" t="s">
        <v>1168</v>
      </c>
      <c r="J905" t="s">
        <v>759</v>
      </c>
      <c r="K905" t="s">
        <v>760</v>
      </c>
      <c r="L905" t="s">
        <v>77</v>
      </c>
      <c r="N905">
        <f t="shared" si="70"/>
        <v>19</v>
      </c>
      <c r="O905">
        <f t="shared" si="71"/>
        <v>5</v>
      </c>
      <c r="P905" t="str">
        <f t="shared" si="72"/>
        <v>Provided Guidance</v>
      </c>
      <c r="Q905" t="str">
        <f t="shared" si="73"/>
        <v>May</v>
      </c>
      <c r="R905" t="str">
        <f t="shared" si="74"/>
        <v>Week 19</v>
      </c>
    </row>
    <row r="906" spans="1:18" x14ac:dyDescent="0.2">
      <c r="A906">
        <v>244198</v>
      </c>
      <c r="B906" s="2">
        <v>45422</v>
      </c>
      <c r="C906" t="s">
        <v>65</v>
      </c>
      <c r="D906" t="s">
        <v>66</v>
      </c>
      <c r="E906" t="s">
        <v>11</v>
      </c>
      <c r="F906" t="s">
        <v>220</v>
      </c>
      <c r="H906" t="s">
        <v>67</v>
      </c>
      <c r="I906" t="s">
        <v>1169</v>
      </c>
      <c r="J906" t="s">
        <v>759</v>
      </c>
      <c r="K906" t="s">
        <v>760</v>
      </c>
      <c r="L906" t="s">
        <v>70</v>
      </c>
      <c r="N906">
        <f t="shared" si="70"/>
        <v>19</v>
      </c>
      <c r="O906">
        <f t="shared" si="71"/>
        <v>5</v>
      </c>
      <c r="P906" t="str">
        <f t="shared" si="72"/>
        <v>Observed Better</v>
      </c>
      <c r="Q906" t="str">
        <f t="shared" si="73"/>
        <v>May</v>
      </c>
      <c r="R906" t="str">
        <f t="shared" si="74"/>
        <v>Week 19</v>
      </c>
    </row>
    <row r="907" spans="1:18" x14ac:dyDescent="0.2">
      <c r="A907">
        <v>244199</v>
      </c>
      <c r="B907" s="2">
        <v>45422</v>
      </c>
      <c r="C907" t="s">
        <v>65</v>
      </c>
      <c r="D907" t="s">
        <v>66</v>
      </c>
      <c r="E907" t="s">
        <v>11</v>
      </c>
      <c r="F907" t="s">
        <v>220</v>
      </c>
      <c r="H907" t="s">
        <v>67</v>
      </c>
      <c r="I907" t="s">
        <v>1169</v>
      </c>
      <c r="J907" t="s">
        <v>759</v>
      </c>
      <c r="K907" t="s">
        <v>760</v>
      </c>
      <c r="L907" t="s">
        <v>70</v>
      </c>
      <c r="N907">
        <f t="shared" si="70"/>
        <v>19</v>
      </c>
      <c r="O907">
        <f t="shared" si="71"/>
        <v>5</v>
      </c>
      <c r="P907" t="str">
        <f t="shared" si="72"/>
        <v>Observed Better</v>
      </c>
      <c r="Q907" t="str">
        <f t="shared" si="73"/>
        <v>May</v>
      </c>
      <c r="R907" t="str">
        <f t="shared" si="74"/>
        <v>Week 19</v>
      </c>
    </row>
    <row r="908" spans="1:18" x14ac:dyDescent="0.2">
      <c r="A908">
        <v>244200</v>
      </c>
      <c r="B908" s="2">
        <v>45422</v>
      </c>
      <c r="C908" t="s">
        <v>65</v>
      </c>
      <c r="D908" t="s">
        <v>66</v>
      </c>
      <c r="E908" t="s">
        <v>11</v>
      </c>
      <c r="F908" t="s">
        <v>220</v>
      </c>
      <c r="H908" t="s">
        <v>67</v>
      </c>
      <c r="I908" t="s">
        <v>1170</v>
      </c>
      <c r="J908" t="s">
        <v>759</v>
      </c>
      <c r="K908" t="s">
        <v>760</v>
      </c>
      <c r="L908" t="s">
        <v>77</v>
      </c>
      <c r="N908">
        <f t="shared" si="70"/>
        <v>19</v>
      </c>
      <c r="O908">
        <f t="shared" si="71"/>
        <v>5</v>
      </c>
      <c r="P908" t="str">
        <f t="shared" si="72"/>
        <v>Provided Guidance</v>
      </c>
      <c r="Q908" t="str">
        <f t="shared" si="73"/>
        <v>May</v>
      </c>
      <c r="R908" t="str">
        <f t="shared" si="74"/>
        <v>Week 19</v>
      </c>
    </row>
    <row r="909" spans="1:18" x14ac:dyDescent="0.2">
      <c r="A909">
        <v>244201</v>
      </c>
      <c r="B909" s="2">
        <v>45422</v>
      </c>
      <c r="C909" t="s">
        <v>65</v>
      </c>
      <c r="D909" t="s">
        <v>66</v>
      </c>
      <c r="E909" t="s">
        <v>11</v>
      </c>
      <c r="F909" t="s">
        <v>220</v>
      </c>
      <c r="H909" t="s">
        <v>67</v>
      </c>
      <c r="I909" t="s">
        <v>1170</v>
      </c>
      <c r="J909" t="s">
        <v>759</v>
      </c>
      <c r="K909" t="s">
        <v>760</v>
      </c>
      <c r="L909" t="s">
        <v>77</v>
      </c>
      <c r="N909">
        <f t="shared" si="70"/>
        <v>19</v>
      </c>
      <c r="O909">
        <f t="shared" si="71"/>
        <v>5</v>
      </c>
      <c r="P909" t="str">
        <f t="shared" si="72"/>
        <v>Provided Guidance</v>
      </c>
      <c r="Q909" t="str">
        <f t="shared" si="73"/>
        <v>May</v>
      </c>
      <c r="R909" t="str">
        <f t="shared" si="74"/>
        <v>Week 19</v>
      </c>
    </row>
    <row r="910" spans="1:18" x14ac:dyDescent="0.2">
      <c r="A910">
        <v>244202</v>
      </c>
      <c r="B910" s="2">
        <v>45422</v>
      </c>
      <c r="C910" t="s">
        <v>65</v>
      </c>
      <c r="D910" t="s">
        <v>66</v>
      </c>
      <c r="E910" t="s">
        <v>11</v>
      </c>
      <c r="F910" t="s">
        <v>220</v>
      </c>
      <c r="H910" t="s">
        <v>67</v>
      </c>
      <c r="I910" t="s">
        <v>1171</v>
      </c>
      <c r="J910" t="s">
        <v>759</v>
      </c>
      <c r="K910" t="s">
        <v>760</v>
      </c>
      <c r="L910" t="s">
        <v>77</v>
      </c>
      <c r="N910">
        <f t="shared" si="70"/>
        <v>19</v>
      </c>
      <c r="O910">
        <f t="shared" si="71"/>
        <v>5</v>
      </c>
      <c r="P910" t="str">
        <f t="shared" si="72"/>
        <v>Provided Guidance</v>
      </c>
      <c r="Q910" t="str">
        <f t="shared" si="73"/>
        <v>May</v>
      </c>
      <c r="R910" t="str">
        <f t="shared" si="74"/>
        <v>Week 19</v>
      </c>
    </row>
    <row r="911" spans="1:18" x14ac:dyDescent="0.2">
      <c r="A911">
        <v>244203</v>
      </c>
      <c r="B911" s="2">
        <v>45422</v>
      </c>
      <c r="C911" t="s">
        <v>65</v>
      </c>
      <c r="D911" t="s">
        <v>66</v>
      </c>
      <c r="E911" t="s">
        <v>11</v>
      </c>
      <c r="F911" t="s">
        <v>220</v>
      </c>
      <c r="H911" t="s">
        <v>67</v>
      </c>
      <c r="I911" t="s">
        <v>1171</v>
      </c>
      <c r="J911" t="s">
        <v>759</v>
      </c>
      <c r="K911" t="s">
        <v>760</v>
      </c>
      <c r="L911" t="s">
        <v>77</v>
      </c>
      <c r="N911">
        <f t="shared" si="70"/>
        <v>19</v>
      </c>
      <c r="O911">
        <f t="shared" si="71"/>
        <v>5</v>
      </c>
      <c r="P911" t="str">
        <f t="shared" si="72"/>
        <v>Provided Guidance</v>
      </c>
      <c r="Q911" t="str">
        <f t="shared" si="73"/>
        <v>May</v>
      </c>
      <c r="R911" t="str">
        <f t="shared" si="74"/>
        <v>Week 19</v>
      </c>
    </row>
    <row r="912" spans="1:18" x14ac:dyDescent="0.2">
      <c r="A912">
        <v>244204</v>
      </c>
      <c r="B912" s="2">
        <v>45422</v>
      </c>
      <c r="C912" t="s">
        <v>65</v>
      </c>
      <c r="D912" t="s">
        <v>66</v>
      </c>
      <c r="E912" t="s">
        <v>8</v>
      </c>
      <c r="F912" t="s">
        <v>9</v>
      </c>
      <c r="G912" t="s">
        <v>528</v>
      </c>
      <c r="H912" t="s">
        <v>67</v>
      </c>
      <c r="I912" t="s">
        <v>1172</v>
      </c>
      <c r="J912" t="s">
        <v>1045</v>
      </c>
      <c r="K912" t="s">
        <v>1046</v>
      </c>
      <c r="L912" t="s">
        <v>70</v>
      </c>
      <c r="M912" t="s">
        <v>1173</v>
      </c>
      <c r="N912">
        <f t="shared" si="70"/>
        <v>19</v>
      </c>
      <c r="O912">
        <f t="shared" si="71"/>
        <v>5</v>
      </c>
      <c r="P912" t="str">
        <f t="shared" si="72"/>
        <v>Observed Better</v>
      </c>
      <c r="Q912" t="str">
        <f t="shared" si="73"/>
        <v>May</v>
      </c>
      <c r="R912" t="str">
        <f t="shared" si="74"/>
        <v>Week 19</v>
      </c>
    </row>
    <row r="913" spans="1:18" x14ac:dyDescent="0.2">
      <c r="A913">
        <v>244205</v>
      </c>
      <c r="B913" s="2">
        <v>45422</v>
      </c>
      <c r="C913" t="s">
        <v>65</v>
      </c>
      <c r="D913" t="s">
        <v>66</v>
      </c>
      <c r="E913" t="s">
        <v>16</v>
      </c>
      <c r="F913" t="s">
        <v>162</v>
      </c>
      <c r="H913" t="s">
        <v>67</v>
      </c>
      <c r="I913" t="s">
        <v>1174</v>
      </c>
      <c r="J913" t="s">
        <v>455</v>
      </c>
      <c r="K913" t="s">
        <v>456</v>
      </c>
      <c r="L913" t="s">
        <v>70</v>
      </c>
      <c r="N913">
        <f t="shared" si="70"/>
        <v>19</v>
      </c>
      <c r="O913">
        <f t="shared" si="71"/>
        <v>5</v>
      </c>
      <c r="P913" t="str">
        <f t="shared" si="72"/>
        <v>Observed Better</v>
      </c>
      <c r="Q913" t="str">
        <f t="shared" si="73"/>
        <v>May</v>
      </c>
      <c r="R913" t="str">
        <f t="shared" si="74"/>
        <v>Week 19</v>
      </c>
    </row>
    <row r="914" spans="1:18" x14ac:dyDescent="0.2">
      <c r="A914">
        <v>244206</v>
      </c>
      <c r="B914" s="2">
        <v>45422</v>
      </c>
      <c r="C914" t="s">
        <v>65</v>
      </c>
      <c r="D914" t="s">
        <v>66</v>
      </c>
      <c r="E914" t="s">
        <v>16</v>
      </c>
      <c r="F914" t="s">
        <v>17</v>
      </c>
      <c r="H914" t="s">
        <v>67</v>
      </c>
      <c r="I914" t="s">
        <v>1175</v>
      </c>
      <c r="J914" t="s">
        <v>455</v>
      </c>
      <c r="K914" t="s">
        <v>456</v>
      </c>
      <c r="L914" t="s">
        <v>70</v>
      </c>
      <c r="N914">
        <f t="shared" si="70"/>
        <v>19</v>
      </c>
      <c r="O914">
        <f t="shared" si="71"/>
        <v>5</v>
      </c>
      <c r="P914" t="str">
        <f t="shared" si="72"/>
        <v>Observed Better</v>
      </c>
      <c r="Q914" t="str">
        <f t="shared" si="73"/>
        <v>May</v>
      </c>
      <c r="R914" t="str">
        <f t="shared" si="74"/>
        <v>Week 19</v>
      </c>
    </row>
    <row r="915" spans="1:18" x14ac:dyDescent="0.2">
      <c r="A915">
        <v>244207</v>
      </c>
      <c r="B915" s="2">
        <v>45424</v>
      </c>
      <c r="C915" t="s">
        <v>65</v>
      </c>
      <c r="D915" t="s">
        <v>66</v>
      </c>
      <c r="E915" t="s">
        <v>11</v>
      </c>
      <c r="F915" t="s">
        <v>12</v>
      </c>
      <c r="G915" t="s">
        <v>15</v>
      </c>
      <c r="H915" t="s">
        <v>67</v>
      </c>
      <c r="I915" t="s">
        <v>1176</v>
      </c>
      <c r="J915" t="s">
        <v>222</v>
      </c>
      <c r="K915" t="s">
        <v>223</v>
      </c>
      <c r="L915" t="s">
        <v>77</v>
      </c>
      <c r="M915" t="s">
        <v>1177</v>
      </c>
      <c r="N915">
        <f t="shared" si="70"/>
        <v>20</v>
      </c>
      <c r="O915">
        <f t="shared" si="71"/>
        <v>5</v>
      </c>
      <c r="P915" t="str">
        <f t="shared" si="72"/>
        <v>Provided Guidance</v>
      </c>
      <c r="Q915" t="str">
        <f t="shared" si="73"/>
        <v>May</v>
      </c>
      <c r="R915" t="str">
        <f t="shared" si="74"/>
        <v>Week 20</v>
      </c>
    </row>
    <row r="916" spans="1:18" x14ac:dyDescent="0.2">
      <c r="A916">
        <v>244208</v>
      </c>
      <c r="B916" s="2">
        <v>45424</v>
      </c>
      <c r="C916" t="s">
        <v>65</v>
      </c>
      <c r="D916" t="s">
        <v>66</v>
      </c>
      <c r="E916" t="s">
        <v>20</v>
      </c>
      <c r="F916" t="s">
        <v>235</v>
      </c>
      <c r="H916" t="s">
        <v>67</v>
      </c>
      <c r="I916" t="s">
        <v>1178</v>
      </c>
      <c r="J916" t="s">
        <v>222</v>
      </c>
      <c r="K916" t="s">
        <v>223</v>
      </c>
      <c r="L916" t="s">
        <v>70</v>
      </c>
      <c r="M916" t="s">
        <v>1179</v>
      </c>
      <c r="N916">
        <f t="shared" si="70"/>
        <v>20</v>
      </c>
      <c r="O916">
        <f t="shared" si="71"/>
        <v>5</v>
      </c>
      <c r="P916" t="str">
        <f t="shared" si="72"/>
        <v>Observed Better</v>
      </c>
      <c r="Q916" t="str">
        <f t="shared" si="73"/>
        <v>May</v>
      </c>
      <c r="R916" t="str">
        <f t="shared" si="74"/>
        <v>Week 20</v>
      </c>
    </row>
    <row r="917" spans="1:18" x14ac:dyDescent="0.2">
      <c r="A917">
        <v>244209</v>
      </c>
      <c r="B917" s="2">
        <v>45424</v>
      </c>
      <c r="C917" t="s">
        <v>65</v>
      </c>
      <c r="D917" t="s">
        <v>66</v>
      </c>
      <c r="E917" t="s">
        <v>8</v>
      </c>
      <c r="F917" t="s">
        <v>9</v>
      </c>
      <c r="G917" t="s">
        <v>528</v>
      </c>
      <c r="H917" t="s">
        <v>67</v>
      </c>
      <c r="I917" t="s">
        <v>1180</v>
      </c>
      <c r="J917" t="s">
        <v>222</v>
      </c>
      <c r="K917" t="s">
        <v>223</v>
      </c>
      <c r="L917" t="s">
        <v>77</v>
      </c>
      <c r="M917" t="s">
        <v>1181</v>
      </c>
      <c r="N917">
        <f t="shared" si="70"/>
        <v>20</v>
      </c>
      <c r="O917">
        <f t="shared" si="71"/>
        <v>5</v>
      </c>
      <c r="P917" t="str">
        <f t="shared" si="72"/>
        <v>Provided Guidance</v>
      </c>
      <c r="Q917" t="str">
        <f t="shared" si="73"/>
        <v>May</v>
      </c>
      <c r="R917" t="str">
        <f t="shared" si="74"/>
        <v>Week 20</v>
      </c>
    </row>
    <row r="918" spans="1:18" x14ac:dyDescent="0.2">
      <c r="A918">
        <v>244214</v>
      </c>
      <c r="B918" s="2">
        <v>45426</v>
      </c>
      <c r="C918" t="s">
        <v>65</v>
      </c>
      <c r="D918" t="s">
        <v>66</v>
      </c>
      <c r="E918" t="s">
        <v>20</v>
      </c>
      <c r="F918" t="s">
        <v>21</v>
      </c>
      <c r="G918" t="s">
        <v>22</v>
      </c>
      <c r="H918" t="s">
        <v>67</v>
      </c>
      <c r="I918" t="s">
        <v>1182</v>
      </c>
      <c r="J918" t="s">
        <v>41</v>
      </c>
      <c r="K918" t="s">
        <v>92</v>
      </c>
      <c r="L918" t="s">
        <v>77</v>
      </c>
      <c r="M918" t="s">
        <v>735</v>
      </c>
      <c r="N918">
        <f t="shared" si="70"/>
        <v>20</v>
      </c>
      <c r="O918">
        <f t="shared" si="71"/>
        <v>5</v>
      </c>
      <c r="P918" t="str">
        <f t="shared" si="72"/>
        <v>Provided Guidance</v>
      </c>
      <c r="Q918" t="str">
        <f t="shared" si="73"/>
        <v>May</v>
      </c>
      <c r="R918" t="str">
        <f t="shared" si="74"/>
        <v>Week 20</v>
      </c>
    </row>
    <row r="919" spans="1:18" x14ac:dyDescent="0.2">
      <c r="A919">
        <v>244215</v>
      </c>
      <c r="B919" s="2">
        <v>45426</v>
      </c>
      <c r="C919" t="s">
        <v>65</v>
      </c>
      <c r="D919" t="s">
        <v>66</v>
      </c>
      <c r="E919" t="s">
        <v>20</v>
      </c>
      <c r="F919" t="s">
        <v>21</v>
      </c>
      <c r="G919" t="s">
        <v>22</v>
      </c>
      <c r="H919" t="s">
        <v>67</v>
      </c>
      <c r="I919" t="s">
        <v>1183</v>
      </c>
      <c r="J919" t="s">
        <v>41</v>
      </c>
      <c r="K919" t="s">
        <v>92</v>
      </c>
      <c r="L919" t="s">
        <v>77</v>
      </c>
      <c r="M919" t="s">
        <v>1184</v>
      </c>
      <c r="N919">
        <f t="shared" si="70"/>
        <v>20</v>
      </c>
      <c r="O919">
        <f t="shared" si="71"/>
        <v>5</v>
      </c>
      <c r="P919" t="str">
        <f t="shared" si="72"/>
        <v>Provided Guidance</v>
      </c>
      <c r="Q919" t="str">
        <f t="shared" si="73"/>
        <v>May</v>
      </c>
      <c r="R919" t="str">
        <f t="shared" si="74"/>
        <v>Week 20</v>
      </c>
    </row>
    <row r="920" spans="1:18" x14ac:dyDescent="0.2">
      <c r="A920">
        <v>244216</v>
      </c>
      <c r="B920" s="2">
        <v>45426</v>
      </c>
      <c r="C920" t="s">
        <v>65</v>
      </c>
      <c r="D920" t="s">
        <v>66</v>
      </c>
      <c r="E920" t="s">
        <v>20</v>
      </c>
      <c r="F920" t="s">
        <v>10</v>
      </c>
      <c r="G920" t="s">
        <v>23</v>
      </c>
      <c r="H920" t="s">
        <v>67</v>
      </c>
      <c r="I920" t="s">
        <v>1185</v>
      </c>
      <c r="J920" t="s">
        <v>41</v>
      </c>
      <c r="K920" t="s">
        <v>92</v>
      </c>
      <c r="L920" t="s">
        <v>77</v>
      </c>
      <c r="M920" t="s">
        <v>1186</v>
      </c>
      <c r="N920">
        <f t="shared" si="70"/>
        <v>20</v>
      </c>
      <c r="O920">
        <f t="shared" si="71"/>
        <v>5</v>
      </c>
      <c r="P920" t="str">
        <f t="shared" si="72"/>
        <v>Provided Guidance</v>
      </c>
      <c r="Q920" t="str">
        <f t="shared" si="73"/>
        <v>May</v>
      </c>
      <c r="R920" t="str">
        <f t="shared" si="74"/>
        <v>Week 20</v>
      </c>
    </row>
    <row r="921" spans="1:18" x14ac:dyDescent="0.2">
      <c r="A921">
        <v>244220</v>
      </c>
      <c r="B921" s="2">
        <v>45427</v>
      </c>
      <c r="C921" t="s">
        <v>65</v>
      </c>
      <c r="D921" t="s">
        <v>66</v>
      </c>
      <c r="E921" t="s">
        <v>8</v>
      </c>
      <c r="F921" t="s">
        <v>427</v>
      </c>
      <c r="G921" t="s">
        <v>428</v>
      </c>
      <c r="H921" t="s">
        <v>67</v>
      </c>
      <c r="I921" t="s">
        <v>1187</v>
      </c>
      <c r="J921" t="s">
        <v>34</v>
      </c>
      <c r="K921" t="s">
        <v>295</v>
      </c>
      <c r="L921" t="s">
        <v>77</v>
      </c>
      <c r="M921" t="s">
        <v>357</v>
      </c>
      <c r="N921">
        <f t="shared" si="70"/>
        <v>20</v>
      </c>
      <c r="O921">
        <f t="shared" si="71"/>
        <v>5</v>
      </c>
      <c r="P921" t="str">
        <f t="shared" si="72"/>
        <v>Provided Guidance</v>
      </c>
      <c r="Q921" t="str">
        <f t="shared" si="73"/>
        <v>May</v>
      </c>
      <c r="R921" t="str">
        <f t="shared" si="74"/>
        <v>Week 20</v>
      </c>
    </row>
    <row r="922" spans="1:18" x14ac:dyDescent="0.2">
      <c r="A922">
        <v>244221</v>
      </c>
      <c r="B922" s="2">
        <v>45427</v>
      </c>
      <c r="C922" t="s">
        <v>65</v>
      </c>
      <c r="D922" t="s">
        <v>66</v>
      </c>
      <c r="E922" t="s">
        <v>8</v>
      </c>
      <c r="F922" t="s">
        <v>9</v>
      </c>
      <c r="G922" t="s">
        <v>203</v>
      </c>
      <c r="H922" t="s">
        <v>67</v>
      </c>
      <c r="I922" t="s">
        <v>1188</v>
      </c>
      <c r="J922" t="s">
        <v>34</v>
      </c>
      <c r="K922" t="s">
        <v>295</v>
      </c>
      <c r="L922" t="s">
        <v>77</v>
      </c>
      <c r="M922" t="s">
        <v>357</v>
      </c>
      <c r="N922">
        <f t="shared" si="70"/>
        <v>20</v>
      </c>
      <c r="O922">
        <f t="shared" si="71"/>
        <v>5</v>
      </c>
      <c r="P922" t="str">
        <f t="shared" si="72"/>
        <v>Provided Guidance</v>
      </c>
      <c r="Q922" t="str">
        <f t="shared" si="73"/>
        <v>May</v>
      </c>
      <c r="R922" t="str">
        <f t="shared" si="74"/>
        <v>Week 20</v>
      </c>
    </row>
    <row r="923" spans="1:18" x14ac:dyDescent="0.2">
      <c r="A923">
        <v>244223</v>
      </c>
      <c r="B923" s="2">
        <v>45428</v>
      </c>
      <c r="C923" t="s">
        <v>65</v>
      </c>
      <c r="D923" t="s">
        <v>66</v>
      </c>
      <c r="E923" t="s">
        <v>16</v>
      </c>
      <c r="F923" t="s">
        <v>19</v>
      </c>
      <c r="H923" t="s">
        <v>67</v>
      </c>
      <c r="I923" t="s">
        <v>1189</v>
      </c>
      <c r="J923" t="s">
        <v>40</v>
      </c>
      <c r="K923" t="s">
        <v>76</v>
      </c>
      <c r="L923" t="s">
        <v>77</v>
      </c>
      <c r="M923" t="s">
        <v>1190</v>
      </c>
      <c r="N923">
        <f t="shared" si="70"/>
        <v>20</v>
      </c>
      <c r="O923">
        <f t="shared" si="71"/>
        <v>5</v>
      </c>
      <c r="P923" t="str">
        <f t="shared" si="72"/>
        <v>Provided Guidance</v>
      </c>
      <c r="Q923" t="str">
        <f t="shared" si="73"/>
        <v>May</v>
      </c>
      <c r="R923" t="str">
        <f t="shared" si="74"/>
        <v>Week 20</v>
      </c>
    </row>
    <row r="924" spans="1:18" x14ac:dyDescent="0.2">
      <c r="A924">
        <v>244224</v>
      </c>
      <c r="B924" s="2">
        <v>45428</v>
      </c>
      <c r="C924" t="s">
        <v>65</v>
      </c>
      <c r="D924" t="s">
        <v>66</v>
      </c>
      <c r="E924" t="s">
        <v>16</v>
      </c>
      <c r="F924" t="s">
        <v>19</v>
      </c>
      <c r="H924" t="s">
        <v>67</v>
      </c>
      <c r="I924" t="s">
        <v>1191</v>
      </c>
      <c r="J924" t="s">
        <v>40</v>
      </c>
      <c r="K924" t="s">
        <v>76</v>
      </c>
      <c r="L924" t="s">
        <v>77</v>
      </c>
      <c r="M924" t="s">
        <v>562</v>
      </c>
      <c r="N924">
        <f t="shared" si="70"/>
        <v>20</v>
      </c>
      <c r="O924">
        <f t="shared" si="71"/>
        <v>5</v>
      </c>
      <c r="P924" t="str">
        <f t="shared" si="72"/>
        <v>Provided Guidance</v>
      </c>
      <c r="Q924" t="str">
        <f t="shared" si="73"/>
        <v>May</v>
      </c>
      <c r="R924" t="str">
        <f t="shared" si="74"/>
        <v>Week 20</v>
      </c>
    </row>
    <row r="925" spans="1:18" x14ac:dyDescent="0.2">
      <c r="A925">
        <v>244225</v>
      </c>
      <c r="B925" s="2">
        <v>45428</v>
      </c>
      <c r="C925" t="s">
        <v>65</v>
      </c>
      <c r="D925" t="s">
        <v>66</v>
      </c>
      <c r="E925" t="s">
        <v>16</v>
      </c>
      <c r="F925" t="s">
        <v>19</v>
      </c>
      <c r="H925" t="s">
        <v>67</v>
      </c>
      <c r="I925" t="s">
        <v>1192</v>
      </c>
      <c r="J925" t="s">
        <v>40</v>
      </c>
      <c r="K925" t="s">
        <v>76</v>
      </c>
      <c r="L925" t="s">
        <v>77</v>
      </c>
      <c r="M925" t="s">
        <v>1193</v>
      </c>
      <c r="N925">
        <f t="shared" si="70"/>
        <v>20</v>
      </c>
      <c r="O925">
        <f t="shared" si="71"/>
        <v>5</v>
      </c>
      <c r="P925" t="str">
        <f t="shared" si="72"/>
        <v>Provided Guidance</v>
      </c>
      <c r="Q925" t="str">
        <f t="shared" si="73"/>
        <v>May</v>
      </c>
      <c r="R925" t="str">
        <f t="shared" si="74"/>
        <v>Week 20</v>
      </c>
    </row>
    <row r="926" spans="1:18" x14ac:dyDescent="0.2">
      <c r="A926">
        <v>244226</v>
      </c>
      <c r="B926" s="2">
        <v>45428</v>
      </c>
      <c r="C926" t="s">
        <v>65</v>
      </c>
      <c r="D926" t="s">
        <v>66</v>
      </c>
      <c r="E926" t="s">
        <v>16</v>
      </c>
      <c r="F926" t="s">
        <v>19</v>
      </c>
      <c r="H926" t="s">
        <v>67</v>
      </c>
      <c r="I926" t="s">
        <v>1194</v>
      </c>
      <c r="J926" t="s">
        <v>40</v>
      </c>
      <c r="K926" t="s">
        <v>76</v>
      </c>
      <c r="L926" t="s">
        <v>70</v>
      </c>
      <c r="M926" t="s">
        <v>1195</v>
      </c>
      <c r="N926">
        <f t="shared" si="70"/>
        <v>20</v>
      </c>
      <c r="O926">
        <f t="shared" si="71"/>
        <v>5</v>
      </c>
      <c r="P926" t="str">
        <f t="shared" si="72"/>
        <v>Observed Better</v>
      </c>
      <c r="Q926" t="str">
        <f t="shared" si="73"/>
        <v>May</v>
      </c>
      <c r="R926" t="str">
        <f t="shared" si="74"/>
        <v>Week 20</v>
      </c>
    </row>
    <row r="927" spans="1:18" x14ac:dyDescent="0.2">
      <c r="A927">
        <v>244227</v>
      </c>
      <c r="B927" s="2">
        <v>45428</v>
      </c>
      <c r="C927" t="s">
        <v>65</v>
      </c>
      <c r="D927" t="s">
        <v>66</v>
      </c>
      <c r="E927" t="s">
        <v>16</v>
      </c>
      <c r="F927" t="s">
        <v>19</v>
      </c>
      <c r="H927" t="s">
        <v>67</v>
      </c>
      <c r="I927" t="s">
        <v>1196</v>
      </c>
      <c r="J927" t="s">
        <v>40</v>
      </c>
      <c r="K927" t="s">
        <v>76</v>
      </c>
      <c r="L927" t="s">
        <v>70</v>
      </c>
      <c r="M927" t="s">
        <v>1197</v>
      </c>
      <c r="N927">
        <f t="shared" si="70"/>
        <v>20</v>
      </c>
      <c r="O927">
        <f t="shared" si="71"/>
        <v>5</v>
      </c>
      <c r="P927" t="str">
        <f t="shared" si="72"/>
        <v>Observed Better</v>
      </c>
      <c r="Q927" t="str">
        <f t="shared" si="73"/>
        <v>May</v>
      </c>
      <c r="R927" t="str">
        <f t="shared" si="74"/>
        <v>Week 20</v>
      </c>
    </row>
    <row r="928" spans="1:18" x14ac:dyDescent="0.2">
      <c r="A928">
        <v>244228</v>
      </c>
      <c r="B928" s="2">
        <v>45428</v>
      </c>
      <c r="C928" t="s">
        <v>65</v>
      </c>
      <c r="D928" t="s">
        <v>66</v>
      </c>
      <c r="E928" t="s">
        <v>16</v>
      </c>
      <c r="F928" t="s">
        <v>19</v>
      </c>
      <c r="H928" t="s">
        <v>67</v>
      </c>
      <c r="I928" t="s">
        <v>1198</v>
      </c>
      <c r="J928" t="s">
        <v>40</v>
      </c>
      <c r="K928" t="s">
        <v>76</v>
      </c>
      <c r="L928" t="s">
        <v>77</v>
      </c>
      <c r="M928" t="s">
        <v>1199</v>
      </c>
      <c r="N928">
        <f t="shared" si="70"/>
        <v>20</v>
      </c>
      <c r="O928">
        <f t="shared" si="71"/>
        <v>5</v>
      </c>
      <c r="P928" t="str">
        <f t="shared" si="72"/>
        <v>Provided Guidance</v>
      </c>
      <c r="Q928" t="str">
        <f t="shared" si="73"/>
        <v>May</v>
      </c>
      <c r="R928" t="str">
        <f t="shared" si="74"/>
        <v>Week 20</v>
      </c>
    </row>
    <row r="929" spans="1:18" x14ac:dyDescent="0.2">
      <c r="A929">
        <v>244229</v>
      </c>
      <c r="B929" s="2">
        <v>45428</v>
      </c>
      <c r="C929" t="s">
        <v>65</v>
      </c>
      <c r="D929" t="s">
        <v>66</v>
      </c>
      <c r="E929" t="s">
        <v>16</v>
      </c>
      <c r="F929" t="s">
        <v>19</v>
      </c>
      <c r="H929" t="s">
        <v>67</v>
      </c>
      <c r="I929" t="s">
        <v>1200</v>
      </c>
      <c r="J929" t="s">
        <v>40</v>
      </c>
      <c r="K929" t="s">
        <v>76</v>
      </c>
      <c r="L929" t="s">
        <v>77</v>
      </c>
      <c r="M929" t="s">
        <v>185</v>
      </c>
      <c r="N929">
        <f t="shared" si="70"/>
        <v>20</v>
      </c>
      <c r="O929">
        <f t="shared" si="71"/>
        <v>5</v>
      </c>
      <c r="P929" t="str">
        <f t="shared" si="72"/>
        <v>Provided Guidance</v>
      </c>
      <c r="Q929" t="str">
        <f t="shared" si="73"/>
        <v>May</v>
      </c>
      <c r="R929" t="str">
        <f t="shared" si="74"/>
        <v>Week 20</v>
      </c>
    </row>
    <row r="930" spans="1:18" x14ac:dyDescent="0.2">
      <c r="A930">
        <v>244230</v>
      </c>
      <c r="B930" s="2">
        <v>45428</v>
      </c>
      <c r="C930" t="s">
        <v>65</v>
      </c>
      <c r="D930" t="s">
        <v>66</v>
      </c>
      <c r="E930" t="s">
        <v>16</v>
      </c>
      <c r="F930" t="s">
        <v>19</v>
      </c>
      <c r="H930" t="s">
        <v>67</v>
      </c>
      <c r="I930" t="s">
        <v>1201</v>
      </c>
      <c r="J930" t="s">
        <v>40</v>
      </c>
      <c r="K930" t="s">
        <v>76</v>
      </c>
      <c r="L930" t="s">
        <v>70</v>
      </c>
      <c r="M930" t="s">
        <v>1202</v>
      </c>
      <c r="N930">
        <f t="shared" si="70"/>
        <v>20</v>
      </c>
      <c r="O930">
        <f t="shared" si="71"/>
        <v>5</v>
      </c>
      <c r="P930" t="str">
        <f t="shared" si="72"/>
        <v>Observed Better</v>
      </c>
      <c r="Q930" t="str">
        <f t="shared" si="73"/>
        <v>May</v>
      </c>
      <c r="R930" t="str">
        <f t="shared" si="74"/>
        <v>Week 20</v>
      </c>
    </row>
    <row r="931" spans="1:18" x14ac:dyDescent="0.2">
      <c r="A931">
        <v>244231</v>
      </c>
      <c r="B931" s="2">
        <v>45428</v>
      </c>
      <c r="C931" t="s">
        <v>65</v>
      </c>
      <c r="D931" t="s">
        <v>66</v>
      </c>
      <c r="E931" t="s">
        <v>16</v>
      </c>
      <c r="F931" t="s">
        <v>19</v>
      </c>
      <c r="H931" t="s">
        <v>67</v>
      </c>
      <c r="I931" t="s">
        <v>1203</v>
      </c>
      <c r="J931" t="s">
        <v>40</v>
      </c>
      <c r="K931" t="s">
        <v>76</v>
      </c>
      <c r="L931" t="s">
        <v>70</v>
      </c>
      <c r="M931" t="s">
        <v>1204</v>
      </c>
      <c r="N931">
        <f t="shared" si="70"/>
        <v>20</v>
      </c>
      <c r="O931">
        <f t="shared" si="71"/>
        <v>5</v>
      </c>
      <c r="P931" t="str">
        <f t="shared" si="72"/>
        <v>Observed Better</v>
      </c>
      <c r="Q931" t="str">
        <f t="shared" si="73"/>
        <v>May</v>
      </c>
      <c r="R931" t="str">
        <f t="shared" si="74"/>
        <v>Week 20</v>
      </c>
    </row>
    <row r="932" spans="1:18" x14ac:dyDescent="0.2">
      <c r="A932">
        <v>244232</v>
      </c>
      <c r="B932" s="2">
        <v>45428</v>
      </c>
      <c r="C932" t="s">
        <v>65</v>
      </c>
      <c r="D932" t="s">
        <v>66</v>
      </c>
      <c r="E932" t="s">
        <v>16</v>
      </c>
      <c r="F932" t="s">
        <v>19</v>
      </c>
      <c r="H932" t="s">
        <v>67</v>
      </c>
      <c r="I932" t="s">
        <v>1205</v>
      </c>
      <c r="J932" t="s">
        <v>40</v>
      </c>
      <c r="K932" t="s">
        <v>76</v>
      </c>
      <c r="L932" t="s">
        <v>77</v>
      </c>
      <c r="M932" t="s">
        <v>1206</v>
      </c>
      <c r="N932">
        <f t="shared" si="70"/>
        <v>20</v>
      </c>
      <c r="O932">
        <f t="shared" si="71"/>
        <v>5</v>
      </c>
      <c r="P932" t="str">
        <f t="shared" si="72"/>
        <v>Provided Guidance</v>
      </c>
      <c r="Q932" t="str">
        <f t="shared" si="73"/>
        <v>May</v>
      </c>
      <c r="R932" t="str">
        <f t="shared" si="74"/>
        <v>Week 20</v>
      </c>
    </row>
    <row r="933" spans="1:18" x14ac:dyDescent="0.2">
      <c r="A933">
        <v>244233</v>
      </c>
      <c r="B933" s="2">
        <v>45428</v>
      </c>
      <c r="C933" t="s">
        <v>65</v>
      </c>
      <c r="D933" t="s">
        <v>66</v>
      </c>
      <c r="E933" t="s">
        <v>16</v>
      </c>
      <c r="F933" t="s">
        <v>19</v>
      </c>
      <c r="H933" t="s">
        <v>67</v>
      </c>
      <c r="I933" t="s">
        <v>1207</v>
      </c>
      <c r="J933" t="s">
        <v>40</v>
      </c>
      <c r="K933" t="s">
        <v>76</v>
      </c>
      <c r="L933" t="s">
        <v>70</v>
      </c>
      <c r="M933" t="s">
        <v>385</v>
      </c>
      <c r="N933">
        <f t="shared" si="70"/>
        <v>20</v>
      </c>
      <c r="O933">
        <f t="shared" si="71"/>
        <v>5</v>
      </c>
      <c r="P933" t="str">
        <f t="shared" si="72"/>
        <v>Observed Better</v>
      </c>
      <c r="Q933" t="str">
        <f t="shared" si="73"/>
        <v>May</v>
      </c>
      <c r="R933" t="str">
        <f t="shared" si="74"/>
        <v>Week 20</v>
      </c>
    </row>
    <row r="934" spans="1:18" x14ac:dyDescent="0.2">
      <c r="A934">
        <v>244234</v>
      </c>
      <c r="B934" s="2">
        <v>45428</v>
      </c>
      <c r="C934" t="s">
        <v>65</v>
      </c>
      <c r="D934" t="s">
        <v>66</v>
      </c>
      <c r="E934" t="s">
        <v>16</v>
      </c>
      <c r="F934" t="s">
        <v>19</v>
      </c>
      <c r="H934" t="s">
        <v>67</v>
      </c>
      <c r="I934" t="s">
        <v>1208</v>
      </c>
      <c r="J934" t="s">
        <v>40</v>
      </c>
      <c r="K934" t="s">
        <v>76</v>
      </c>
      <c r="L934" t="s">
        <v>77</v>
      </c>
      <c r="M934" t="s">
        <v>705</v>
      </c>
      <c r="N934">
        <f t="shared" si="70"/>
        <v>20</v>
      </c>
      <c r="O934">
        <f t="shared" si="71"/>
        <v>5</v>
      </c>
      <c r="P934" t="str">
        <f t="shared" si="72"/>
        <v>Provided Guidance</v>
      </c>
      <c r="Q934" t="str">
        <f t="shared" si="73"/>
        <v>May</v>
      </c>
      <c r="R934" t="str">
        <f t="shared" si="74"/>
        <v>Week 20</v>
      </c>
    </row>
    <row r="935" spans="1:18" x14ac:dyDescent="0.2">
      <c r="A935">
        <v>244235</v>
      </c>
      <c r="B935" s="2">
        <v>45428</v>
      </c>
      <c r="C935" t="s">
        <v>65</v>
      </c>
      <c r="D935" t="s">
        <v>66</v>
      </c>
      <c r="E935" t="s">
        <v>16</v>
      </c>
      <c r="F935" t="s">
        <v>19</v>
      </c>
      <c r="H935" t="s">
        <v>67</v>
      </c>
      <c r="I935" t="s">
        <v>1209</v>
      </c>
      <c r="J935" t="s">
        <v>40</v>
      </c>
      <c r="K935" t="s">
        <v>76</v>
      </c>
      <c r="L935" t="s">
        <v>70</v>
      </c>
      <c r="M935" t="s">
        <v>387</v>
      </c>
      <c r="N935">
        <f t="shared" si="70"/>
        <v>20</v>
      </c>
      <c r="O935">
        <f t="shared" si="71"/>
        <v>5</v>
      </c>
      <c r="P935" t="str">
        <f t="shared" si="72"/>
        <v>Observed Better</v>
      </c>
      <c r="Q935" t="str">
        <f t="shared" si="73"/>
        <v>May</v>
      </c>
      <c r="R935" t="str">
        <f t="shared" si="74"/>
        <v>Week 20</v>
      </c>
    </row>
    <row r="936" spans="1:18" x14ac:dyDescent="0.2">
      <c r="A936">
        <v>244236</v>
      </c>
      <c r="B936" s="2">
        <v>45428</v>
      </c>
      <c r="C936" t="s">
        <v>65</v>
      </c>
      <c r="D936" t="s">
        <v>66</v>
      </c>
      <c r="E936" t="s">
        <v>16</v>
      </c>
      <c r="F936" t="s">
        <v>19</v>
      </c>
      <c r="H936" t="s">
        <v>67</v>
      </c>
      <c r="I936" t="s">
        <v>1210</v>
      </c>
      <c r="J936" t="s">
        <v>40</v>
      </c>
      <c r="K936" t="s">
        <v>76</v>
      </c>
      <c r="L936" t="s">
        <v>77</v>
      </c>
      <c r="M936" t="s">
        <v>389</v>
      </c>
      <c r="N936">
        <f t="shared" si="70"/>
        <v>20</v>
      </c>
      <c r="O936">
        <f t="shared" si="71"/>
        <v>5</v>
      </c>
      <c r="P936" t="str">
        <f t="shared" si="72"/>
        <v>Provided Guidance</v>
      </c>
      <c r="Q936" t="str">
        <f t="shared" si="73"/>
        <v>May</v>
      </c>
      <c r="R936" t="str">
        <f t="shared" si="74"/>
        <v>Week 20</v>
      </c>
    </row>
    <row r="937" spans="1:18" x14ac:dyDescent="0.2">
      <c r="A937">
        <v>244237</v>
      </c>
      <c r="B937" s="2">
        <v>45428</v>
      </c>
      <c r="C937" t="s">
        <v>65</v>
      </c>
      <c r="D937" t="s">
        <v>66</v>
      </c>
      <c r="E937" t="s">
        <v>16</v>
      </c>
      <c r="F937" t="s">
        <v>19</v>
      </c>
      <c r="H937" t="s">
        <v>67</v>
      </c>
      <c r="I937" t="s">
        <v>1211</v>
      </c>
      <c r="J937" t="s">
        <v>40</v>
      </c>
      <c r="K937" t="s">
        <v>76</v>
      </c>
      <c r="L937" t="s">
        <v>77</v>
      </c>
      <c r="M937" t="s">
        <v>1212</v>
      </c>
      <c r="N937">
        <f t="shared" si="70"/>
        <v>20</v>
      </c>
      <c r="O937">
        <f t="shared" si="71"/>
        <v>5</v>
      </c>
      <c r="P937" t="str">
        <f t="shared" si="72"/>
        <v>Provided Guidance</v>
      </c>
      <c r="Q937" t="str">
        <f t="shared" si="73"/>
        <v>May</v>
      </c>
      <c r="R937" t="str">
        <f t="shared" si="74"/>
        <v>Week 20</v>
      </c>
    </row>
    <row r="938" spans="1:18" x14ac:dyDescent="0.2">
      <c r="A938">
        <v>244238</v>
      </c>
      <c r="B938" s="2">
        <v>45428</v>
      </c>
      <c r="C938" t="s">
        <v>65</v>
      </c>
      <c r="D938" t="s">
        <v>66</v>
      </c>
      <c r="E938" t="s">
        <v>16</v>
      </c>
      <c r="F938" t="s">
        <v>19</v>
      </c>
      <c r="H938" t="s">
        <v>67</v>
      </c>
      <c r="I938" t="s">
        <v>1213</v>
      </c>
      <c r="J938" t="s">
        <v>40</v>
      </c>
      <c r="K938" t="s">
        <v>76</v>
      </c>
      <c r="L938" t="s">
        <v>70</v>
      </c>
      <c r="M938" t="s">
        <v>393</v>
      </c>
      <c r="N938">
        <f t="shared" si="70"/>
        <v>20</v>
      </c>
      <c r="O938">
        <f t="shared" si="71"/>
        <v>5</v>
      </c>
      <c r="P938" t="str">
        <f t="shared" si="72"/>
        <v>Observed Better</v>
      </c>
      <c r="Q938" t="str">
        <f t="shared" si="73"/>
        <v>May</v>
      </c>
      <c r="R938" t="str">
        <f t="shared" si="74"/>
        <v>Week 20</v>
      </c>
    </row>
    <row r="939" spans="1:18" x14ac:dyDescent="0.2">
      <c r="A939">
        <v>244239</v>
      </c>
      <c r="B939" s="2">
        <v>45428</v>
      </c>
      <c r="C939" t="s">
        <v>65</v>
      </c>
      <c r="D939" t="s">
        <v>66</v>
      </c>
      <c r="E939" t="s">
        <v>16</v>
      </c>
      <c r="F939" t="s">
        <v>19</v>
      </c>
      <c r="H939" t="s">
        <v>67</v>
      </c>
      <c r="I939" t="s">
        <v>1214</v>
      </c>
      <c r="J939" t="s">
        <v>40</v>
      </c>
      <c r="K939" t="s">
        <v>76</v>
      </c>
      <c r="L939" t="s">
        <v>70</v>
      </c>
      <c r="M939" t="s">
        <v>391</v>
      </c>
      <c r="N939">
        <f t="shared" si="70"/>
        <v>20</v>
      </c>
      <c r="O939">
        <f t="shared" si="71"/>
        <v>5</v>
      </c>
      <c r="P939" t="str">
        <f t="shared" si="72"/>
        <v>Observed Better</v>
      </c>
      <c r="Q939" t="str">
        <f t="shared" si="73"/>
        <v>May</v>
      </c>
      <c r="R939" t="str">
        <f t="shared" si="74"/>
        <v>Week 20</v>
      </c>
    </row>
    <row r="940" spans="1:18" x14ac:dyDescent="0.2">
      <c r="A940">
        <v>244240</v>
      </c>
      <c r="B940" s="2">
        <v>45428</v>
      </c>
      <c r="C940" t="s">
        <v>65</v>
      </c>
      <c r="D940" t="s">
        <v>66</v>
      </c>
      <c r="E940" t="s">
        <v>16</v>
      </c>
      <c r="F940" t="s">
        <v>19</v>
      </c>
      <c r="H940" t="s">
        <v>67</v>
      </c>
      <c r="I940" t="s">
        <v>1215</v>
      </c>
      <c r="J940" t="s">
        <v>40</v>
      </c>
      <c r="K940" t="s">
        <v>76</v>
      </c>
      <c r="L940" t="s">
        <v>70</v>
      </c>
      <c r="M940" t="s">
        <v>395</v>
      </c>
      <c r="N940">
        <f t="shared" si="70"/>
        <v>20</v>
      </c>
      <c r="O940">
        <f t="shared" si="71"/>
        <v>5</v>
      </c>
      <c r="P940" t="str">
        <f t="shared" si="72"/>
        <v>Observed Better</v>
      </c>
      <c r="Q940" t="str">
        <f t="shared" si="73"/>
        <v>May</v>
      </c>
      <c r="R940" t="str">
        <f t="shared" si="74"/>
        <v>Week 20</v>
      </c>
    </row>
    <row r="941" spans="1:18" x14ac:dyDescent="0.2">
      <c r="A941">
        <v>244241</v>
      </c>
      <c r="B941" s="2">
        <v>45428</v>
      </c>
      <c r="C941" t="s">
        <v>65</v>
      </c>
      <c r="D941" t="s">
        <v>66</v>
      </c>
      <c r="E941" t="s">
        <v>16</v>
      </c>
      <c r="F941" t="s">
        <v>19</v>
      </c>
      <c r="H941" t="s">
        <v>67</v>
      </c>
      <c r="I941" t="s">
        <v>1216</v>
      </c>
      <c r="J941" t="s">
        <v>40</v>
      </c>
      <c r="K941" t="s">
        <v>76</v>
      </c>
      <c r="L941" t="s">
        <v>77</v>
      </c>
      <c r="M941" t="s">
        <v>1217</v>
      </c>
      <c r="N941">
        <f t="shared" si="70"/>
        <v>20</v>
      </c>
      <c r="O941">
        <f t="shared" si="71"/>
        <v>5</v>
      </c>
      <c r="P941" t="str">
        <f t="shared" si="72"/>
        <v>Provided Guidance</v>
      </c>
      <c r="Q941" t="str">
        <f t="shared" si="73"/>
        <v>May</v>
      </c>
      <c r="R941" t="str">
        <f t="shared" si="74"/>
        <v>Week 20</v>
      </c>
    </row>
    <row r="942" spans="1:18" x14ac:dyDescent="0.2">
      <c r="A942">
        <v>244242</v>
      </c>
      <c r="B942" s="2">
        <v>45428</v>
      </c>
      <c r="C942" t="s">
        <v>65</v>
      </c>
      <c r="D942" t="s">
        <v>66</v>
      </c>
      <c r="E942" t="s">
        <v>16</v>
      </c>
      <c r="F942" t="s">
        <v>19</v>
      </c>
      <c r="H942" t="s">
        <v>67</v>
      </c>
      <c r="I942" t="s">
        <v>1218</v>
      </c>
      <c r="J942" t="s">
        <v>40</v>
      </c>
      <c r="K942" t="s">
        <v>76</v>
      </c>
      <c r="L942" t="s">
        <v>77</v>
      </c>
      <c r="M942" t="s">
        <v>399</v>
      </c>
      <c r="N942">
        <f t="shared" si="70"/>
        <v>20</v>
      </c>
      <c r="O942">
        <f t="shared" si="71"/>
        <v>5</v>
      </c>
      <c r="P942" t="str">
        <f t="shared" si="72"/>
        <v>Provided Guidance</v>
      </c>
      <c r="Q942" t="str">
        <f t="shared" si="73"/>
        <v>May</v>
      </c>
      <c r="R942" t="str">
        <f t="shared" si="74"/>
        <v>Week 20</v>
      </c>
    </row>
    <row r="943" spans="1:18" x14ac:dyDescent="0.2">
      <c r="A943">
        <v>244243</v>
      </c>
      <c r="B943" s="2">
        <v>45428</v>
      </c>
      <c r="C943" t="s">
        <v>65</v>
      </c>
      <c r="D943" t="s">
        <v>66</v>
      </c>
      <c r="E943" t="s">
        <v>16</v>
      </c>
      <c r="F943" t="s">
        <v>19</v>
      </c>
      <c r="H943" t="s">
        <v>67</v>
      </c>
      <c r="I943" t="s">
        <v>1219</v>
      </c>
      <c r="J943" t="s">
        <v>40</v>
      </c>
      <c r="K943" t="s">
        <v>76</v>
      </c>
      <c r="L943" t="s">
        <v>77</v>
      </c>
      <c r="M943" t="s">
        <v>720</v>
      </c>
      <c r="N943">
        <f t="shared" si="70"/>
        <v>20</v>
      </c>
      <c r="O943">
        <f t="shared" si="71"/>
        <v>5</v>
      </c>
      <c r="P943" t="str">
        <f t="shared" si="72"/>
        <v>Provided Guidance</v>
      </c>
      <c r="Q943" t="str">
        <f t="shared" si="73"/>
        <v>May</v>
      </c>
      <c r="R943" t="str">
        <f t="shared" si="74"/>
        <v>Week 20</v>
      </c>
    </row>
    <row r="944" spans="1:18" x14ac:dyDescent="0.2">
      <c r="A944">
        <v>244244</v>
      </c>
      <c r="B944" s="2">
        <v>45428</v>
      </c>
      <c r="C944" t="s">
        <v>65</v>
      </c>
      <c r="D944" t="s">
        <v>66</v>
      </c>
      <c r="E944" t="s">
        <v>16</v>
      </c>
      <c r="F944" t="s">
        <v>19</v>
      </c>
      <c r="H944" t="s">
        <v>67</v>
      </c>
      <c r="I944" t="s">
        <v>1220</v>
      </c>
      <c r="J944" t="s">
        <v>40</v>
      </c>
      <c r="K944" t="s">
        <v>76</v>
      </c>
      <c r="L944" t="s">
        <v>77</v>
      </c>
      <c r="M944" t="s">
        <v>1221</v>
      </c>
      <c r="N944">
        <f t="shared" si="70"/>
        <v>20</v>
      </c>
      <c r="O944">
        <f t="shared" si="71"/>
        <v>5</v>
      </c>
      <c r="P944" t="str">
        <f t="shared" si="72"/>
        <v>Provided Guidance</v>
      </c>
      <c r="Q944" t="str">
        <f t="shared" si="73"/>
        <v>May</v>
      </c>
      <c r="R944" t="str">
        <f t="shared" si="74"/>
        <v>Week 20</v>
      </c>
    </row>
    <row r="945" spans="1:18" x14ac:dyDescent="0.2">
      <c r="A945">
        <v>244245</v>
      </c>
      <c r="B945" s="2">
        <v>45428</v>
      </c>
      <c r="C945" t="s">
        <v>65</v>
      </c>
      <c r="D945" t="s">
        <v>66</v>
      </c>
      <c r="E945" t="s">
        <v>16</v>
      </c>
      <c r="F945" t="s">
        <v>94</v>
      </c>
      <c r="H945" t="s">
        <v>67</v>
      </c>
      <c r="I945" t="s">
        <v>1222</v>
      </c>
      <c r="J945" t="s">
        <v>37</v>
      </c>
      <c r="K945" t="s">
        <v>69</v>
      </c>
      <c r="L945" t="s">
        <v>70</v>
      </c>
      <c r="N945">
        <f t="shared" si="70"/>
        <v>20</v>
      </c>
      <c r="O945">
        <f t="shared" si="71"/>
        <v>5</v>
      </c>
      <c r="P945" t="str">
        <f t="shared" si="72"/>
        <v>Observed Better</v>
      </c>
      <c r="Q945" t="str">
        <f t="shared" si="73"/>
        <v>May</v>
      </c>
      <c r="R945" t="str">
        <f t="shared" si="74"/>
        <v>Week 20</v>
      </c>
    </row>
    <row r="946" spans="1:18" x14ac:dyDescent="0.2">
      <c r="A946">
        <v>244246</v>
      </c>
      <c r="B946" s="2">
        <v>45428</v>
      </c>
      <c r="C946" t="s">
        <v>65</v>
      </c>
      <c r="D946" t="s">
        <v>66</v>
      </c>
      <c r="E946" t="s">
        <v>16</v>
      </c>
      <c r="F946" t="s">
        <v>94</v>
      </c>
      <c r="H946" t="s">
        <v>67</v>
      </c>
      <c r="I946" t="s">
        <v>1222</v>
      </c>
      <c r="J946" t="s">
        <v>37</v>
      </c>
      <c r="K946" t="s">
        <v>69</v>
      </c>
      <c r="L946" t="s">
        <v>70</v>
      </c>
      <c r="N946">
        <f t="shared" si="70"/>
        <v>20</v>
      </c>
      <c r="O946">
        <f t="shared" si="71"/>
        <v>5</v>
      </c>
      <c r="P946" t="str">
        <f t="shared" si="72"/>
        <v>Observed Better</v>
      </c>
      <c r="Q946" t="str">
        <f t="shared" si="73"/>
        <v>May</v>
      </c>
      <c r="R946" t="str">
        <f t="shared" si="74"/>
        <v>Week 20</v>
      </c>
    </row>
    <row r="947" spans="1:18" x14ac:dyDescent="0.2">
      <c r="A947">
        <v>244247</v>
      </c>
      <c r="B947" s="2">
        <v>45428</v>
      </c>
      <c r="C947" t="s">
        <v>65</v>
      </c>
      <c r="D947" t="s">
        <v>66</v>
      </c>
      <c r="E947" t="s">
        <v>8</v>
      </c>
      <c r="F947" t="s">
        <v>9</v>
      </c>
      <c r="G947" t="s">
        <v>528</v>
      </c>
      <c r="H947" t="s">
        <v>67</v>
      </c>
      <c r="I947" t="s">
        <v>1223</v>
      </c>
      <c r="J947" t="s">
        <v>37</v>
      </c>
      <c r="K947" t="s">
        <v>69</v>
      </c>
      <c r="L947" t="s">
        <v>70</v>
      </c>
      <c r="N947">
        <f t="shared" si="70"/>
        <v>20</v>
      </c>
      <c r="O947">
        <f t="shared" si="71"/>
        <v>5</v>
      </c>
      <c r="P947" t="str">
        <f t="shared" si="72"/>
        <v>Observed Better</v>
      </c>
      <c r="Q947" t="str">
        <f t="shared" si="73"/>
        <v>May</v>
      </c>
      <c r="R947" t="str">
        <f t="shared" si="74"/>
        <v>Week 20</v>
      </c>
    </row>
    <row r="948" spans="1:18" x14ac:dyDescent="0.2">
      <c r="A948">
        <v>244248</v>
      </c>
      <c r="B948" s="2">
        <v>45428</v>
      </c>
      <c r="C948" t="s">
        <v>65</v>
      </c>
      <c r="D948" t="s">
        <v>66</v>
      </c>
      <c r="E948" t="s">
        <v>8</v>
      </c>
      <c r="F948" t="s">
        <v>9</v>
      </c>
      <c r="G948" t="s">
        <v>203</v>
      </c>
      <c r="H948" t="s">
        <v>67</v>
      </c>
      <c r="I948" t="s">
        <v>1224</v>
      </c>
      <c r="J948" t="s">
        <v>580</v>
      </c>
      <c r="K948" t="s">
        <v>581</v>
      </c>
      <c r="L948" t="s">
        <v>70</v>
      </c>
      <c r="N948">
        <f t="shared" si="70"/>
        <v>20</v>
      </c>
      <c r="O948">
        <f t="shared" si="71"/>
        <v>5</v>
      </c>
      <c r="P948" t="str">
        <f t="shared" si="72"/>
        <v>Observed Better</v>
      </c>
      <c r="Q948" t="str">
        <f t="shared" si="73"/>
        <v>May</v>
      </c>
      <c r="R948" t="str">
        <f t="shared" si="74"/>
        <v>Week 20</v>
      </c>
    </row>
    <row r="949" spans="1:18" x14ac:dyDescent="0.2">
      <c r="A949">
        <v>244249</v>
      </c>
      <c r="B949" s="2">
        <v>45428</v>
      </c>
      <c r="C949" t="s">
        <v>65</v>
      </c>
      <c r="D949" t="s">
        <v>66</v>
      </c>
      <c r="E949" t="s">
        <v>8</v>
      </c>
      <c r="F949" t="s">
        <v>9</v>
      </c>
      <c r="G949" t="s">
        <v>10</v>
      </c>
      <c r="H949" t="s">
        <v>67</v>
      </c>
      <c r="I949" t="s">
        <v>1225</v>
      </c>
      <c r="J949" t="s">
        <v>580</v>
      </c>
      <c r="K949" t="s">
        <v>581</v>
      </c>
      <c r="L949" t="s">
        <v>77</v>
      </c>
      <c r="N949">
        <f t="shared" si="70"/>
        <v>20</v>
      </c>
      <c r="O949">
        <f t="shared" si="71"/>
        <v>5</v>
      </c>
      <c r="P949" t="str">
        <f t="shared" si="72"/>
        <v>Provided Guidance</v>
      </c>
      <c r="Q949" t="str">
        <f t="shared" si="73"/>
        <v>May</v>
      </c>
      <c r="R949" t="str">
        <f t="shared" si="74"/>
        <v>Week 20</v>
      </c>
    </row>
    <row r="950" spans="1:18" x14ac:dyDescent="0.2">
      <c r="A950">
        <v>244250</v>
      </c>
      <c r="B950" s="2">
        <v>45428</v>
      </c>
      <c r="C950" t="s">
        <v>65</v>
      </c>
      <c r="D950" t="s">
        <v>66</v>
      </c>
      <c r="E950" t="s">
        <v>11</v>
      </c>
      <c r="F950" t="s">
        <v>134</v>
      </c>
      <c r="G950" t="s">
        <v>370</v>
      </c>
      <c r="H950" t="s">
        <v>67</v>
      </c>
      <c r="I950" t="s">
        <v>1226</v>
      </c>
      <c r="J950" t="s">
        <v>580</v>
      </c>
      <c r="K950" t="s">
        <v>581</v>
      </c>
      <c r="L950" t="s">
        <v>70</v>
      </c>
      <c r="N950">
        <f t="shared" si="70"/>
        <v>20</v>
      </c>
      <c r="O950">
        <f t="shared" si="71"/>
        <v>5</v>
      </c>
      <c r="P950" t="str">
        <f t="shared" si="72"/>
        <v>Observed Better</v>
      </c>
      <c r="Q950" t="str">
        <f t="shared" si="73"/>
        <v>May</v>
      </c>
      <c r="R950" t="str">
        <f t="shared" si="74"/>
        <v>Week 20</v>
      </c>
    </row>
    <row r="951" spans="1:18" x14ac:dyDescent="0.2">
      <c r="A951">
        <v>244251</v>
      </c>
      <c r="B951" s="2">
        <v>45428</v>
      </c>
      <c r="C951" t="s">
        <v>65</v>
      </c>
      <c r="D951" t="s">
        <v>66</v>
      </c>
      <c r="E951" t="s">
        <v>20</v>
      </c>
      <c r="F951" t="s">
        <v>21</v>
      </c>
      <c r="G951" t="s">
        <v>22</v>
      </c>
      <c r="H951" t="s">
        <v>67</v>
      </c>
      <c r="I951" t="s">
        <v>1227</v>
      </c>
      <c r="J951" t="s">
        <v>1228</v>
      </c>
      <c r="K951" t="s">
        <v>1229</v>
      </c>
      <c r="L951" t="s">
        <v>77</v>
      </c>
      <c r="M951" t="s">
        <v>1230</v>
      </c>
      <c r="N951">
        <f t="shared" si="70"/>
        <v>20</v>
      </c>
      <c r="O951">
        <f t="shared" si="71"/>
        <v>5</v>
      </c>
      <c r="P951" t="str">
        <f t="shared" si="72"/>
        <v>Provided Guidance</v>
      </c>
      <c r="Q951" t="str">
        <f t="shared" si="73"/>
        <v>May</v>
      </c>
      <c r="R951" t="str">
        <f t="shared" si="74"/>
        <v>Week 20</v>
      </c>
    </row>
    <row r="952" spans="1:18" x14ac:dyDescent="0.2">
      <c r="A952">
        <v>244252</v>
      </c>
      <c r="B952" s="2">
        <v>45428</v>
      </c>
      <c r="C952" t="s">
        <v>65</v>
      </c>
      <c r="D952" t="s">
        <v>66</v>
      </c>
      <c r="E952" t="s">
        <v>20</v>
      </c>
      <c r="F952" t="s">
        <v>21</v>
      </c>
      <c r="G952" t="s">
        <v>22</v>
      </c>
      <c r="H952" t="s">
        <v>67</v>
      </c>
      <c r="I952" t="s">
        <v>1227</v>
      </c>
      <c r="J952" t="s">
        <v>1228</v>
      </c>
      <c r="K952" t="s">
        <v>1229</v>
      </c>
      <c r="L952" t="s">
        <v>77</v>
      </c>
      <c r="M952" t="s">
        <v>1230</v>
      </c>
      <c r="N952">
        <f t="shared" si="70"/>
        <v>20</v>
      </c>
      <c r="O952">
        <f t="shared" si="71"/>
        <v>5</v>
      </c>
      <c r="P952" t="str">
        <f t="shared" si="72"/>
        <v>Provided Guidance</v>
      </c>
      <c r="Q952" t="str">
        <f t="shared" si="73"/>
        <v>May</v>
      </c>
      <c r="R952" t="str">
        <f t="shared" si="74"/>
        <v>Week 20</v>
      </c>
    </row>
    <row r="953" spans="1:18" x14ac:dyDescent="0.2">
      <c r="A953">
        <v>244253</v>
      </c>
      <c r="B953" s="2">
        <v>45428</v>
      </c>
      <c r="C953" t="s">
        <v>65</v>
      </c>
      <c r="D953" t="s">
        <v>66</v>
      </c>
      <c r="E953" t="s">
        <v>20</v>
      </c>
      <c r="F953" t="s">
        <v>21</v>
      </c>
      <c r="G953" t="s">
        <v>22</v>
      </c>
      <c r="H953" t="s">
        <v>67</v>
      </c>
      <c r="I953" t="s">
        <v>1227</v>
      </c>
      <c r="J953" t="s">
        <v>1228</v>
      </c>
      <c r="K953" t="s">
        <v>1229</v>
      </c>
      <c r="L953" t="s">
        <v>77</v>
      </c>
      <c r="M953" t="s">
        <v>1230</v>
      </c>
      <c r="N953">
        <f t="shared" si="70"/>
        <v>20</v>
      </c>
      <c r="O953">
        <f t="shared" si="71"/>
        <v>5</v>
      </c>
      <c r="P953" t="str">
        <f t="shared" si="72"/>
        <v>Provided Guidance</v>
      </c>
      <c r="Q953" t="str">
        <f t="shared" si="73"/>
        <v>May</v>
      </c>
      <c r="R953" t="str">
        <f t="shared" si="74"/>
        <v>Week 20</v>
      </c>
    </row>
    <row r="954" spans="1:18" x14ac:dyDescent="0.2">
      <c r="A954">
        <v>244254</v>
      </c>
      <c r="B954" s="2">
        <v>45428</v>
      </c>
      <c r="C954" t="s">
        <v>65</v>
      </c>
      <c r="D954" t="s">
        <v>66</v>
      </c>
      <c r="E954" t="s">
        <v>20</v>
      </c>
      <c r="F954" t="s">
        <v>21</v>
      </c>
      <c r="G954" t="s">
        <v>22</v>
      </c>
      <c r="H954" t="s">
        <v>67</v>
      </c>
      <c r="I954" t="s">
        <v>1227</v>
      </c>
      <c r="J954" t="s">
        <v>1228</v>
      </c>
      <c r="K954" t="s">
        <v>1229</v>
      </c>
      <c r="L954" t="s">
        <v>77</v>
      </c>
      <c r="M954" t="s">
        <v>1230</v>
      </c>
      <c r="N954">
        <f t="shared" si="70"/>
        <v>20</v>
      </c>
      <c r="O954">
        <f t="shared" si="71"/>
        <v>5</v>
      </c>
      <c r="P954" t="str">
        <f t="shared" si="72"/>
        <v>Provided Guidance</v>
      </c>
      <c r="Q954" t="str">
        <f t="shared" si="73"/>
        <v>May</v>
      </c>
      <c r="R954" t="str">
        <f t="shared" si="74"/>
        <v>Week 20</v>
      </c>
    </row>
    <row r="955" spans="1:18" x14ac:dyDescent="0.2">
      <c r="A955">
        <v>244255</v>
      </c>
      <c r="B955" s="2">
        <v>45428</v>
      </c>
      <c r="C955" t="s">
        <v>65</v>
      </c>
      <c r="D955" t="s">
        <v>66</v>
      </c>
      <c r="E955" t="s">
        <v>20</v>
      </c>
      <c r="F955" t="s">
        <v>21</v>
      </c>
      <c r="G955" t="s">
        <v>22</v>
      </c>
      <c r="H955" t="s">
        <v>67</v>
      </c>
      <c r="I955" t="s">
        <v>1227</v>
      </c>
      <c r="J955" t="s">
        <v>1228</v>
      </c>
      <c r="K955" t="s">
        <v>1229</v>
      </c>
      <c r="L955" t="s">
        <v>77</v>
      </c>
      <c r="M955" t="s">
        <v>1230</v>
      </c>
      <c r="N955">
        <f t="shared" si="70"/>
        <v>20</v>
      </c>
      <c r="O955">
        <f t="shared" si="71"/>
        <v>5</v>
      </c>
      <c r="P955" t="str">
        <f t="shared" si="72"/>
        <v>Provided Guidance</v>
      </c>
      <c r="Q955" t="str">
        <f t="shared" si="73"/>
        <v>May</v>
      </c>
      <c r="R955" t="str">
        <f t="shared" si="74"/>
        <v>Week 20</v>
      </c>
    </row>
    <row r="956" spans="1:18" x14ac:dyDescent="0.2">
      <c r="A956">
        <v>244256</v>
      </c>
      <c r="B956" s="2">
        <v>45428</v>
      </c>
      <c r="C956" t="s">
        <v>65</v>
      </c>
      <c r="D956" t="s">
        <v>66</v>
      </c>
      <c r="E956" t="s">
        <v>8</v>
      </c>
      <c r="F956" t="s">
        <v>9</v>
      </c>
      <c r="G956" t="s">
        <v>203</v>
      </c>
      <c r="H956" t="s">
        <v>67</v>
      </c>
      <c r="I956" t="s">
        <v>1231</v>
      </c>
      <c r="J956" t="s">
        <v>1228</v>
      </c>
      <c r="K956" t="s">
        <v>1229</v>
      </c>
      <c r="L956" t="s">
        <v>77</v>
      </c>
      <c r="M956" t="s">
        <v>1232</v>
      </c>
      <c r="N956">
        <f t="shared" si="70"/>
        <v>20</v>
      </c>
      <c r="O956">
        <f t="shared" si="71"/>
        <v>5</v>
      </c>
      <c r="P956" t="str">
        <f t="shared" si="72"/>
        <v>Provided Guidance</v>
      </c>
      <c r="Q956" t="str">
        <f t="shared" si="73"/>
        <v>May</v>
      </c>
      <c r="R956" t="str">
        <f t="shared" si="74"/>
        <v>Week 20</v>
      </c>
    </row>
    <row r="957" spans="1:18" x14ac:dyDescent="0.2">
      <c r="A957">
        <v>244257</v>
      </c>
      <c r="B957" s="2">
        <v>45428</v>
      </c>
      <c r="C957" t="s">
        <v>65</v>
      </c>
      <c r="D957" t="s">
        <v>66</v>
      </c>
      <c r="E957" t="s">
        <v>8</v>
      </c>
      <c r="F957" t="s">
        <v>9</v>
      </c>
      <c r="G957" t="s">
        <v>203</v>
      </c>
      <c r="H957" t="s">
        <v>67</v>
      </c>
      <c r="I957" t="s">
        <v>1231</v>
      </c>
      <c r="J957" t="s">
        <v>1228</v>
      </c>
      <c r="K957" t="s">
        <v>1229</v>
      </c>
      <c r="L957" t="s">
        <v>77</v>
      </c>
      <c r="M957" t="s">
        <v>1232</v>
      </c>
      <c r="N957">
        <f t="shared" si="70"/>
        <v>20</v>
      </c>
      <c r="O957">
        <f t="shared" si="71"/>
        <v>5</v>
      </c>
      <c r="P957" t="str">
        <f t="shared" si="72"/>
        <v>Provided Guidance</v>
      </c>
      <c r="Q957" t="str">
        <f t="shared" si="73"/>
        <v>May</v>
      </c>
      <c r="R957" t="str">
        <f t="shared" si="74"/>
        <v>Week 20</v>
      </c>
    </row>
    <row r="958" spans="1:18" x14ac:dyDescent="0.2">
      <c r="A958">
        <v>244258</v>
      </c>
      <c r="B958" s="2">
        <v>45428</v>
      </c>
      <c r="C958" t="s">
        <v>65</v>
      </c>
      <c r="D958" t="s">
        <v>66</v>
      </c>
      <c r="E958" t="s">
        <v>8</v>
      </c>
      <c r="F958" t="s">
        <v>9</v>
      </c>
      <c r="G958" t="s">
        <v>203</v>
      </c>
      <c r="H958" t="s">
        <v>67</v>
      </c>
      <c r="I958" t="s">
        <v>1231</v>
      </c>
      <c r="J958" t="s">
        <v>1228</v>
      </c>
      <c r="K958" t="s">
        <v>1229</v>
      </c>
      <c r="L958" t="s">
        <v>77</v>
      </c>
      <c r="M958" t="s">
        <v>1232</v>
      </c>
      <c r="N958">
        <f t="shared" si="70"/>
        <v>20</v>
      </c>
      <c r="O958">
        <f t="shared" si="71"/>
        <v>5</v>
      </c>
      <c r="P958" t="str">
        <f t="shared" si="72"/>
        <v>Provided Guidance</v>
      </c>
      <c r="Q958" t="str">
        <f t="shared" si="73"/>
        <v>May</v>
      </c>
      <c r="R958" t="str">
        <f t="shared" si="74"/>
        <v>Week 20</v>
      </c>
    </row>
    <row r="959" spans="1:18" x14ac:dyDescent="0.2">
      <c r="A959">
        <v>244259</v>
      </c>
      <c r="B959" s="2">
        <v>45428</v>
      </c>
      <c r="C959" t="s">
        <v>65</v>
      </c>
      <c r="D959" t="s">
        <v>66</v>
      </c>
      <c r="E959" t="s">
        <v>8</v>
      </c>
      <c r="F959" t="s">
        <v>9</v>
      </c>
      <c r="G959" t="s">
        <v>203</v>
      </c>
      <c r="H959" t="s">
        <v>67</v>
      </c>
      <c r="I959" t="s">
        <v>1231</v>
      </c>
      <c r="J959" t="s">
        <v>1228</v>
      </c>
      <c r="K959" t="s">
        <v>1229</v>
      </c>
      <c r="L959" t="s">
        <v>77</v>
      </c>
      <c r="M959" t="s">
        <v>1232</v>
      </c>
      <c r="N959">
        <f t="shared" si="70"/>
        <v>20</v>
      </c>
      <c r="O959">
        <f t="shared" si="71"/>
        <v>5</v>
      </c>
      <c r="P959" t="str">
        <f t="shared" si="72"/>
        <v>Provided Guidance</v>
      </c>
      <c r="Q959" t="str">
        <f t="shared" si="73"/>
        <v>May</v>
      </c>
      <c r="R959" t="str">
        <f t="shared" si="74"/>
        <v>Week 20</v>
      </c>
    </row>
    <row r="960" spans="1:18" x14ac:dyDescent="0.2">
      <c r="A960">
        <v>244260</v>
      </c>
      <c r="B960" s="2">
        <v>45428</v>
      </c>
      <c r="C960" t="s">
        <v>65</v>
      </c>
      <c r="D960" t="s">
        <v>66</v>
      </c>
      <c r="E960" t="s">
        <v>8</v>
      </c>
      <c r="F960" t="s">
        <v>9</v>
      </c>
      <c r="G960" t="s">
        <v>203</v>
      </c>
      <c r="H960" t="s">
        <v>67</v>
      </c>
      <c r="I960" t="s">
        <v>1231</v>
      </c>
      <c r="J960" t="s">
        <v>1228</v>
      </c>
      <c r="K960" t="s">
        <v>1229</v>
      </c>
      <c r="L960" t="s">
        <v>77</v>
      </c>
      <c r="M960" t="s">
        <v>1232</v>
      </c>
      <c r="N960">
        <f t="shared" si="70"/>
        <v>20</v>
      </c>
      <c r="O960">
        <f t="shared" si="71"/>
        <v>5</v>
      </c>
      <c r="P960" t="str">
        <f t="shared" si="72"/>
        <v>Provided Guidance</v>
      </c>
      <c r="Q960" t="str">
        <f t="shared" si="73"/>
        <v>May</v>
      </c>
      <c r="R960" t="str">
        <f t="shared" si="74"/>
        <v>Week 20</v>
      </c>
    </row>
    <row r="961" spans="1:18" x14ac:dyDescent="0.2">
      <c r="A961">
        <v>244261</v>
      </c>
      <c r="B961" s="2">
        <v>45428</v>
      </c>
      <c r="C961" t="s">
        <v>65</v>
      </c>
      <c r="D961" t="s">
        <v>66</v>
      </c>
      <c r="E961" t="s">
        <v>20</v>
      </c>
      <c r="F961" t="s">
        <v>10</v>
      </c>
      <c r="G961" t="s">
        <v>23</v>
      </c>
      <c r="H961" t="s">
        <v>67</v>
      </c>
      <c r="I961" t="s">
        <v>1233</v>
      </c>
      <c r="J961" t="s">
        <v>1228</v>
      </c>
      <c r="K961" t="s">
        <v>1229</v>
      </c>
      <c r="L961" t="s">
        <v>77</v>
      </c>
      <c r="M961" t="s">
        <v>1234</v>
      </c>
      <c r="N961">
        <f t="shared" si="70"/>
        <v>20</v>
      </c>
      <c r="O961">
        <f t="shared" si="71"/>
        <v>5</v>
      </c>
      <c r="P961" t="str">
        <f t="shared" si="72"/>
        <v>Provided Guidance</v>
      </c>
      <c r="Q961" t="str">
        <f t="shared" si="73"/>
        <v>May</v>
      </c>
      <c r="R961" t="str">
        <f t="shared" si="74"/>
        <v>Week 20</v>
      </c>
    </row>
    <row r="962" spans="1:18" x14ac:dyDescent="0.2">
      <c r="A962">
        <v>244262</v>
      </c>
      <c r="B962" s="2">
        <v>45428</v>
      </c>
      <c r="C962" t="s">
        <v>65</v>
      </c>
      <c r="D962" t="s">
        <v>66</v>
      </c>
      <c r="E962" t="s">
        <v>20</v>
      </c>
      <c r="F962" t="s">
        <v>10</v>
      </c>
      <c r="G962" t="s">
        <v>23</v>
      </c>
      <c r="H962" t="s">
        <v>67</v>
      </c>
      <c r="I962" t="s">
        <v>1233</v>
      </c>
      <c r="J962" t="s">
        <v>1228</v>
      </c>
      <c r="K962" t="s">
        <v>1229</v>
      </c>
      <c r="L962" t="s">
        <v>77</v>
      </c>
      <c r="M962" t="s">
        <v>1234</v>
      </c>
      <c r="N962">
        <f t="shared" ref="N962:N1025" si="75">IF(ISBLANK(B962)," ",WEEKNUM(B962))</f>
        <v>20</v>
      </c>
      <c r="O962">
        <f t="shared" ref="O962:O1025" si="76">IF(ISBLANK(B962)," ",MONTH(B962))</f>
        <v>5</v>
      </c>
      <c r="P962" t="str">
        <f t="shared" ref="P962:P1025" si="77">IF(ISNUMBER(SEARCH("provided",L962)),"Provided Guidance","Observed Better")</f>
        <v>Provided Guidance</v>
      </c>
      <c r="Q962" t="str">
        <f t="shared" ref="Q962:Q1025" si="78">IF(O962=" "," ",TEXT(O962*29,"mmmm"))</f>
        <v>May</v>
      </c>
      <c r="R962" t="str">
        <f t="shared" ref="R962:R1025" si="79">IF(N962=" "," ",_xlfn.CONCAT("Week ",+TEXT(N962,"0")))</f>
        <v>Week 20</v>
      </c>
    </row>
    <row r="963" spans="1:18" x14ac:dyDescent="0.2">
      <c r="A963">
        <v>244263</v>
      </c>
      <c r="B963" s="2">
        <v>45428</v>
      </c>
      <c r="C963" t="s">
        <v>65</v>
      </c>
      <c r="D963" t="s">
        <v>66</v>
      </c>
      <c r="E963" t="s">
        <v>20</v>
      </c>
      <c r="F963" t="s">
        <v>10</v>
      </c>
      <c r="G963" t="s">
        <v>23</v>
      </c>
      <c r="H963" t="s">
        <v>67</v>
      </c>
      <c r="I963" t="s">
        <v>1233</v>
      </c>
      <c r="J963" t="s">
        <v>1228</v>
      </c>
      <c r="K963" t="s">
        <v>1229</v>
      </c>
      <c r="L963" t="s">
        <v>77</v>
      </c>
      <c r="M963" t="s">
        <v>1234</v>
      </c>
      <c r="N963">
        <f t="shared" si="75"/>
        <v>20</v>
      </c>
      <c r="O963">
        <f t="shared" si="76"/>
        <v>5</v>
      </c>
      <c r="P963" t="str">
        <f t="shared" si="77"/>
        <v>Provided Guidance</v>
      </c>
      <c r="Q963" t="str">
        <f t="shared" si="78"/>
        <v>May</v>
      </c>
      <c r="R963" t="str">
        <f t="shared" si="79"/>
        <v>Week 20</v>
      </c>
    </row>
    <row r="964" spans="1:18" x14ac:dyDescent="0.2">
      <c r="A964">
        <v>244264</v>
      </c>
      <c r="B964" s="2">
        <v>45428</v>
      </c>
      <c r="C964" t="s">
        <v>65</v>
      </c>
      <c r="D964" t="s">
        <v>66</v>
      </c>
      <c r="E964" t="s">
        <v>20</v>
      </c>
      <c r="F964" t="s">
        <v>10</v>
      </c>
      <c r="G964" t="s">
        <v>23</v>
      </c>
      <c r="H964" t="s">
        <v>67</v>
      </c>
      <c r="I964" t="s">
        <v>1233</v>
      </c>
      <c r="J964" t="s">
        <v>1228</v>
      </c>
      <c r="K964" t="s">
        <v>1229</v>
      </c>
      <c r="L964" t="s">
        <v>77</v>
      </c>
      <c r="M964" t="s">
        <v>1234</v>
      </c>
      <c r="N964">
        <f t="shared" si="75"/>
        <v>20</v>
      </c>
      <c r="O964">
        <f t="shared" si="76"/>
        <v>5</v>
      </c>
      <c r="P964" t="str">
        <f t="shared" si="77"/>
        <v>Provided Guidance</v>
      </c>
      <c r="Q964" t="str">
        <f t="shared" si="78"/>
        <v>May</v>
      </c>
      <c r="R964" t="str">
        <f t="shared" si="79"/>
        <v>Week 20</v>
      </c>
    </row>
    <row r="965" spans="1:18" x14ac:dyDescent="0.2">
      <c r="A965">
        <v>244265</v>
      </c>
      <c r="B965" s="2">
        <v>45428</v>
      </c>
      <c r="C965" t="s">
        <v>65</v>
      </c>
      <c r="D965" t="s">
        <v>66</v>
      </c>
      <c r="E965" t="s">
        <v>20</v>
      </c>
      <c r="F965" t="s">
        <v>10</v>
      </c>
      <c r="G965" t="s">
        <v>23</v>
      </c>
      <c r="H965" t="s">
        <v>67</v>
      </c>
      <c r="I965" t="s">
        <v>1233</v>
      </c>
      <c r="J965" t="s">
        <v>1228</v>
      </c>
      <c r="K965" t="s">
        <v>1229</v>
      </c>
      <c r="L965" t="s">
        <v>77</v>
      </c>
      <c r="M965" t="s">
        <v>1234</v>
      </c>
      <c r="N965">
        <f t="shared" si="75"/>
        <v>20</v>
      </c>
      <c r="O965">
        <f t="shared" si="76"/>
        <v>5</v>
      </c>
      <c r="P965" t="str">
        <f t="shared" si="77"/>
        <v>Provided Guidance</v>
      </c>
      <c r="Q965" t="str">
        <f t="shared" si="78"/>
        <v>May</v>
      </c>
      <c r="R965" t="str">
        <f t="shared" si="79"/>
        <v>Week 20</v>
      </c>
    </row>
    <row r="966" spans="1:18" x14ac:dyDescent="0.2">
      <c r="A966">
        <v>244270</v>
      </c>
      <c r="B966" s="2">
        <v>45428</v>
      </c>
      <c r="C966" t="s">
        <v>65</v>
      </c>
      <c r="D966" t="s">
        <v>66</v>
      </c>
      <c r="E966" t="s">
        <v>20</v>
      </c>
      <c r="F966" t="s">
        <v>21</v>
      </c>
      <c r="G966" t="s">
        <v>22</v>
      </c>
      <c r="H966" t="s">
        <v>67</v>
      </c>
      <c r="I966" t="s">
        <v>1235</v>
      </c>
      <c r="J966" t="s">
        <v>43</v>
      </c>
      <c r="K966" t="s">
        <v>141</v>
      </c>
      <c r="L966" t="s">
        <v>70</v>
      </c>
      <c r="N966">
        <f t="shared" si="75"/>
        <v>20</v>
      </c>
      <c r="O966">
        <f t="shared" si="76"/>
        <v>5</v>
      </c>
      <c r="P966" t="str">
        <f t="shared" si="77"/>
        <v>Observed Better</v>
      </c>
      <c r="Q966" t="str">
        <f t="shared" si="78"/>
        <v>May</v>
      </c>
      <c r="R966" t="str">
        <f t="shared" si="79"/>
        <v>Week 20</v>
      </c>
    </row>
    <row r="967" spans="1:18" x14ac:dyDescent="0.2">
      <c r="A967">
        <v>244271</v>
      </c>
      <c r="B967" s="2">
        <v>45428</v>
      </c>
      <c r="C967" t="s">
        <v>65</v>
      </c>
      <c r="D967" t="s">
        <v>66</v>
      </c>
      <c r="E967" t="s">
        <v>20</v>
      </c>
      <c r="F967" t="s">
        <v>21</v>
      </c>
      <c r="G967" t="s">
        <v>22</v>
      </c>
      <c r="H967" t="s">
        <v>67</v>
      </c>
      <c r="I967" t="s">
        <v>1236</v>
      </c>
      <c r="J967" t="s">
        <v>43</v>
      </c>
      <c r="K967" t="s">
        <v>141</v>
      </c>
      <c r="L967" t="s">
        <v>70</v>
      </c>
      <c r="N967">
        <f t="shared" si="75"/>
        <v>20</v>
      </c>
      <c r="O967">
        <f t="shared" si="76"/>
        <v>5</v>
      </c>
      <c r="P967" t="str">
        <f t="shared" si="77"/>
        <v>Observed Better</v>
      </c>
      <c r="Q967" t="str">
        <f t="shared" si="78"/>
        <v>May</v>
      </c>
      <c r="R967" t="str">
        <f t="shared" si="79"/>
        <v>Week 20</v>
      </c>
    </row>
    <row r="968" spans="1:18" x14ac:dyDescent="0.2">
      <c r="A968">
        <v>244272</v>
      </c>
      <c r="B968" s="2">
        <v>45428</v>
      </c>
      <c r="C968" t="s">
        <v>65</v>
      </c>
      <c r="D968" t="s">
        <v>66</v>
      </c>
      <c r="E968" t="s">
        <v>8</v>
      </c>
      <c r="F968" t="s">
        <v>9</v>
      </c>
      <c r="G968" t="s">
        <v>203</v>
      </c>
      <c r="H968" t="s">
        <v>67</v>
      </c>
      <c r="I968" t="s">
        <v>1237</v>
      </c>
      <c r="J968" t="s">
        <v>43</v>
      </c>
      <c r="K968" t="s">
        <v>141</v>
      </c>
      <c r="L968" t="s">
        <v>70</v>
      </c>
      <c r="N968">
        <f t="shared" si="75"/>
        <v>20</v>
      </c>
      <c r="O968">
        <f t="shared" si="76"/>
        <v>5</v>
      </c>
      <c r="P968" t="str">
        <f t="shared" si="77"/>
        <v>Observed Better</v>
      </c>
      <c r="Q968" t="str">
        <f t="shared" si="78"/>
        <v>May</v>
      </c>
      <c r="R968" t="str">
        <f t="shared" si="79"/>
        <v>Week 20</v>
      </c>
    </row>
    <row r="969" spans="1:18" x14ac:dyDescent="0.2">
      <c r="A969">
        <v>244273</v>
      </c>
      <c r="B969" s="2">
        <v>45428</v>
      </c>
      <c r="C969" t="s">
        <v>65</v>
      </c>
      <c r="D969" t="s">
        <v>66</v>
      </c>
      <c r="E969" t="s">
        <v>24</v>
      </c>
      <c r="F969" t="s">
        <v>10</v>
      </c>
      <c r="G969" t="s">
        <v>26</v>
      </c>
      <c r="H969" t="s">
        <v>67</v>
      </c>
      <c r="I969" t="s">
        <v>1238</v>
      </c>
      <c r="J969" t="s">
        <v>43</v>
      </c>
      <c r="K969" t="s">
        <v>141</v>
      </c>
      <c r="L969" t="s">
        <v>70</v>
      </c>
      <c r="N969">
        <f t="shared" si="75"/>
        <v>20</v>
      </c>
      <c r="O969">
        <f t="shared" si="76"/>
        <v>5</v>
      </c>
      <c r="P969" t="str">
        <f t="shared" si="77"/>
        <v>Observed Better</v>
      </c>
      <c r="Q969" t="str">
        <f t="shared" si="78"/>
        <v>May</v>
      </c>
      <c r="R969" t="str">
        <f t="shared" si="79"/>
        <v>Week 20</v>
      </c>
    </row>
    <row r="970" spans="1:18" x14ac:dyDescent="0.2">
      <c r="A970">
        <v>244274</v>
      </c>
      <c r="B970" s="2">
        <v>45428</v>
      </c>
      <c r="C970" t="s">
        <v>65</v>
      </c>
      <c r="D970" t="s">
        <v>66</v>
      </c>
      <c r="E970" t="s">
        <v>20</v>
      </c>
      <c r="F970" t="s">
        <v>21</v>
      </c>
      <c r="G970" t="s">
        <v>73</v>
      </c>
      <c r="H970" t="s">
        <v>67</v>
      </c>
      <c r="I970" t="s">
        <v>1239</v>
      </c>
      <c r="J970" t="s">
        <v>251</v>
      </c>
      <c r="K970" t="s">
        <v>252</v>
      </c>
      <c r="L970" t="s">
        <v>77</v>
      </c>
      <c r="N970">
        <f t="shared" si="75"/>
        <v>20</v>
      </c>
      <c r="O970">
        <f t="shared" si="76"/>
        <v>5</v>
      </c>
      <c r="P970" t="str">
        <f t="shared" si="77"/>
        <v>Provided Guidance</v>
      </c>
      <c r="Q970" t="str">
        <f t="shared" si="78"/>
        <v>May</v>
      </c>
      <c r="R970" t="str">
        <f t="shared" si="79"/>
        <v>Week 20</v>
      </c>
    </row>
    <row r="971" spans="1:18" x14ac:dyDescent="0.2">
      <c r="A971">
        <v>244275</v>
      </c>
      <c r="B971" s="2">
        <v>45428</v>
      </c>
      <c r="C971" t="s">
        <v>65</v>
      </c>
      <c r="D971" t="s">
        <v>66</v>
      </c>
      <c r="E971" t="s">
        <v>8</v>
      </c>
      <c r="F971" t="s">
        <v>9</v>
      </c>
      <c r="G971" t="s">
        <v>11</v>
      </c>
      <c r="H971" t="s">
        <v>67</v>
      </c>
      <c r="I971" t="s">
        <v>1240</v>
      </c>
      <c r="J971" t="s">
        <v>251</v>
      </c>
      <c r="K971" t="s">
        <v>252</v>
      </c>
      <c r="L971" t="s">
        <v>77</v>
      </c>
      <c r="N971">
        <f t="shared" si="75"/>
        <v>20</v>
      </c>
      <c r="O971">
        <f t="shared" si="76"/>
        <v>5</v>
      </c>
      <c r="P971" t="str">
        <f t="shared" si="77"/>
        <v>Provided Guidance</v>
      </c>
      <c r="Q971" t="str">
        <f t="shared" si="78"/>
        <v>May</v>
      </c>
      <c r="R971" t="str">
        <f t="shared" si="79"/>
        <v>Week 20</v>
      </c>
    </row>
    <row r="972" spans="1:18" x14ac:dyDescent="0.2">
      <c r="A972">
        <v>244276</v>
      </c>
      <c r="B972" s="2">
        <v>45429</v>
      </c>
      <c r="C972" t="s">
        <v>65</v>
      </c>
      <c r="D972" t="s">
        <v>66</v>
      </c>
      <c r="E972" t="s">
        <v>11</v>
      </c>
      <c r="F972" t="s">
        <v>134</v>
      </c>
      <c r="G972" t="s">
        <v>370</v>
      </c>
      <c r="H972" t="s">
        <v>67</v>
      </c>
      <c r="I972" t="s">
        <v>1241</v>
      </c>
      <c r="J972" t="s">
        <v>37</v>
      </c>
      <c r="K972" t="s">
        <v>69</v>
      </c>
      <c r="L972" t="s">
        <v>70</v>
      </c>
      <c r="N972">
        <f t="shared" si="75"/>
        <v>20</v>
      </c>
      <c r="O972">
        <f t="shared" si="76"/>
        <v>5</v>
      </c>
      <c r="P972" t="str">
        <f t="shared" si="77"/>
        <v>Observed Better</v>
      </c>
      <c r="Q972" t="str">
        <f t="shared" si="78"/>
        <v>May</v>
      </c>
      <c r="R972" t="str">
        <f t="shared" si="79"/>
        <v>Week 20</v>
      </c>
    </row>
    <row r="973" spans="1:18" x14ac:dyDescent="0.2">
      <c r="A973">
        <v>244277</v>
      </c>
      <c r="B973" s="2">
        <v>45429</v>
      </c>
      <c r="C973" t="s">
        <v>65</v>
      </c>
      <c r="D973" t="s">
        <v>66</v>
      </c>
      <c r="E973" t="s">
        <v>20</v>
      </c>
      <c r="F973" t="s">
        <v>21</v>
      </c>
      <c r="G973" t="s">
        <v>22</v>
      </c>
      <c r="H973" t="s">
        <v>67</v>
      </c>
      <c r="I973" t="s">
        <v>1242</v>
      </c>
      <c r="J973" t="s">
        <v>455</v>
      </c>
      <c r="K973" t="s">
        <v>456</v>
      </c>
      <c r="L973" t="s">
        <v>77</v>
      </c>
      <c r="M973" t="s">
        <v>1243</v>
      </c>
      <c r="N973">
        <f t="shared" si="75"/>
        <v>20</v>
      </c>
      <c r="O973">
        <f t="shared" si="76"/>
        <v>5</v>
      </c>
      <c r="P973" t="str">
        <f t="shared" si="77"/>
        <v>Provided Guidance</v>
      </c>
      <c r="Q973" t="str">
        <f t="shared" si="78"/>
        <v>May</v>
      </c>
      <c r="R973" t="str">
        <f t="shared" si="79"/>
        <v>Week 20</v>
      </c>
    </row>
    <row r="974" spans="1:18" x14ac:dyDescent="0.2">
      <c r="A974">
        <v>244278</v>
      </c>
      <c r="B974" s="2">
        <v>45429</v>
      </c>
      <c r="C974" t="s">
        <v>65</v>
      </c>
      <c r="D974" t="s">
        <v>66</v>
      </c>
      <c r="E974" t="s">
        <v>8</v>
      </c>
      <c r="F974" t="s">
        <v>9</v>
      </c>
      <c r="G974" t="s">
        <v>203</v>
      </c>
      <c r="H974" t="s">
        <v>67</v>
      </c>
      <c r="I974" t="s">
        <v>1244</v>
      </c>
      <c r="J974" t="s">
        <v>251</v>
      </c>
      <c r="K974" t="s">
        <v>252</v>
      </c>
      <c r="L974" t="s">
        <v>77</v>
      </c>
      <c r="N974">
        <f t="shared" si="75"/>
        <v>20</v>
      </c>
      <c r="O974">
        <f t="shared" si="76"/>
        <v>5</v>
      </c>
      <c r="P974" t="str">
        <f t="shared" si="77"/>
        <v>Provided Guidance</v>
      </c>
      <c r="Q974" t="str">
        <f t="shared" si="78"/>
        <v>May</v>
      </c>
      <c r="R974" t="str">
        <f t="shared" si="79"/>
        <v>Week 20</v>
      </c>
    </row>
    <row r="975" spans="1:18" x14ac:dyDescent="0.2">
      <c r="A975">
        <v>244279</v>
      </c>
      <c r="B975" s="2">
        <v>45429</v>
      </c>
      <c r="C975" t="s">
        <v>65</v>
      </c>
      <c r="D975" t="s">
        <v>66</v>
      </c>
      <c r="E975" t="s">
        <v>16</v>
      </c>
      <c r="F975" t="s">
        <v>17</v>
      </c>
      <c r="H975" t="s">
        <v>67</v>
      </c>
      <c r="I975" t="s">
        <v>1245</v>
      </c>
      <c r="J975" t="s">
        <v>455</v>
      </c>
      <c r="K975" t="s">
        <v>456</v>
      </c>
      <c r="L975" t="s">
        <v>70</v>
      </c>
      <c r="N975">
        <f t="shared" si="75"/>
        <v>20</v>
      </c>
      <c r="O975">
        <f t="shared" si="76"/>
        <v>5</v>
      </c>
      <c r="P975" t="str">
        <f t="shared" si="77"/>
        <v>Observed Better</v>
      </c>
      <c r="Q975" t="str">
        <f t="shared" si="78"/>
        <v>May</v>
      </c>
      <c r="R975" t="str">
        <f t="shared" si="79"/>
        <v>Week 20</v>
      </c>
    </row>
    <row r="976" spans="1:18" x14ac:dyDescent="0.2">
      <c r="A976">
        <v>244280</v>
      </c>
      <c r="B976" s="2">
        <v>45429</v>
      </c>
      <c r="C976" t="s">
        <v>65</v>
      </c>
      <c r="D976" t="s">
        <v>66</v>
      </c>
      <c r="E976" t="s">
        <v>16</v>
      </c>
      <c r="F976" t="s">
        <v>19</v>
      </c>
      <c r="H976" t="s">
        <v>67</v>
      </c>
      <c r="I976" t="s">
        <v>1246</v>
      </c>
      <c r="J976" t="s">
        <v>455</v>
      </c>
      <c r="K976" t="s">
        <v>456</v>
      </c>
      <c r="L976" t="s">
        <v>70</v>
      </c>
      <c r="N976">
        <f t="shared" si="75"/>
        <v>20</v>
      </c>
      <c r="O976">
        <f t="shared" si="76"/>
        <v>5</v>
      </c>
      <c r="P976" t="str">
        <f t="shared" si="77"/>
        <v>Observed Better</v>
      </c>
      <c r="Q976" t="str">
        <f t="shared" si="78"/>
        <v>May</v>
      </c>
      <c r="R976" t="str">
        <f t="shared" si="79"/>
        <v>Week 20</v>
      </c>
    </row>
    <row r="977" spans="1:18" x14ac:dyDescent="0.2">
      <c r="A977">
        <v>244283</v>
      </c>
      <c r="B977" s="2">
        <v>45433</v>
      </c>
      <c r="C977" t="s">
        <v>65</v>
      </c>
      <c r="D977" t="s">
        <v>66</v>
      </c>
      <c r="E977" t="s">
        <v>8</v>
      </c>
      <c r="F977" t="s">
        <v>9</v>
      </c>
      <c r="G977" t="s">
        <v>10</v>
      </c>
      <c r="H977" t="s">
        <v>67</v>
      </c>
      <c r="I977" t="s">
        <v>1247</v>
      </c>
      <c r="J977" t="s">
        <v>580</v>
      </c>
      <c r="K977" t="s">
        <v>581</v>
      </c>
      <c r="L977" t="s">
        <v>70</v>
      </c>
      <c r="N977">
        <f t="shared" si="75"/>
        <v>21</v>
      </c>
      <c r="O977">
        <f t="shared" si="76"/>
        <v>5</v>
      </c>
      <c r="P977" t="str">
        <f t="shared" si="77"/>
        <v>Observed Better</v>
      </c>
      <c r="Q977" t="str">
        <f t="shared" si="78"/>
        <v>May</v>
      </c>
      <c r="R977" t="str">
        <f t="shared" si="79"/>
        <v>Week 21</v>
      </c>
    </row>
    <row r="978" spans="1:18" x14ac:dyDescent="0.2">
      <c r="A978">
        <v>244284</v>
      </c>
      <c r="B978" s="2">
        <v>45433</v>
      </c>
      <c r="C978" t="s">
        <v>65</v>
      </c>
      <c r="D978" t="s">
        <v>66</v>
      </c>
      <c r="E978" t="s">
        <v>8</v>
      </c>
      <c r="F978" t="s">
        <v>9</v>
      </c>
      <c r="G978" t="s">
        <v>203</v>
      </c>
      <c r="H978" t="s">
        <v>67</v>
      </c>
      <c r="I978" t="s">
        <v>1248</v>
      </c>
      <c r="J978" t="s">
        <v>580</v>
      </c>
      <c r="K978" t="s">
        <v>581</v>
      </c>
      <c r="L978" t="s">
        <v>70</v>
      </c>
      <c r="N978">
        <f t="shared" si="75"/>
        <v>21</v>
      </c>
      <c r="O978">
        <f t="shared" si="76"/>
        <v>5</v>
      </c>
      <c r="P978" t="str">
        <f t="shared" si="77"/>
        <v>Observed Better</v>
      </c>
      <c r="Q978" t="str">
        <f t="shared" si="78"/>
        <v>May</v>
      </c>
      <c r="R978" t="str">
        <f t="shared" si="79"/>
        <v>Week 21</v>
      </c>
    </row>
    <row r="979" spans="1:18" x14ac:dyDescent="0.2">
      <c r="A979">
        <v>244285</v>
      </c>
      <c r="B979" s="2">
        <v>45433</v>
      </c>
      <c r="C979" t="s">
        <v>65</v>
      </c>
      <c r="D979" t="s">
        <v>66</v>
      </c>
      <c r="E979" t="s">
        <v>8</v>
      </c>
      <c r="F979" t="s">
        <v>427</v>
      </c>
      <c r="G979" t="s">
        <v>428</v>
      </c>
      <c r="H979" t="s">
        <v>67</v>
      </c>
      <c r="I979" t="s">
        <v>1249</v>
      </c>
      <c r="J979" t="s">
        <v>40</v>
      </c>
      <c r="K979" t="s">
        <v>76</v>
      </c>
      <c r="L979" t="s">
        <v>77</v>
      </c>
      <c r="M979" t="s">
        <v>86</v>
      </c>
      <c r="N979">
        <f t="shared" si="75"/>
        <v>21</v>
      </c>
      <c r="O979">
        <f t="shared" si="76"/>
        <v>5</v>
      </c>
      <c r="P979" t="str">
        <f t="shared" si="77"/>
        <v>Provided Guidance</v>
      </c>
      <c r="Q979" t="str">
        <f t="shared" si="78"/>
        <v>May</v>
      </c>
      <c r="R979" t="str">
        <f t="shared" si="79"/>
        <v>Week 21</v>
      </c>
    </row>
    <row r="980" spans="1:18" x14ac:dyDescent="0.2">
      <c r="A980">
        <v>244286</v>
      </c>
      <c r="B980" s="2">
        <v>45433</v>
      </c>
      <c r="C980" t="s">
        <v>65</v>
      </c>
      <c r="D980" t="s">
        <v>66</v>
      </c>
      <c r="E980" t="s">
        <v>8</v>
      </c>
      <c r="F980" t="s">
        <v>427</v>
      </c>
      <c r="G980" t="s">
        <v>428</v>
      </c>
      <c r="H980" t="s">
        <v>67</v>
      </c>
      <c r="I980" t="s">
        <v>1250</v>
      </c>
      <c r="J980" t="s">
        <v>40</v>
      </c>
      <c r="K980" t="s">
        <v>76</v>
      </c>
      <c r="L980" t="s">
        <v>77</v>
      </c>
      <c r="M980" t="s">
        <v>1251</v>
      </c>
      <c r="N980">
        <f t="shared" si="75"/>
        <v>21</v>
      </c>
      <c r="O980">
        <f t="shared" si="76"/>
        <v>5</v>
      </c>
      <c r="P980" t="str">
        <f t="shared" si="77"/>
        <v>Provided Guidance</v>
      </c>
      <c r="Q980" t="str">
        <f t="shared" si="78"/>
        <v>May</v>
      </c>
      <c r="R980" t="str">
        <f t="shared" si="79"/>
        <v>Week 21</v>
      </c>
    </row>
    <row r="981" spans="1:18" x14ac:dyDescent="0.2">
      <c r="A981">
        <v>244287</v>
      </c>
      <c r="B981" s="2">
        <v>45433</v>
      </c>
      <c r="C981" t="s">
        <v>65</v>
      </c>
      <c r="D981" t="s">
        <v>66</v>
      </c>
      <c r="E981" t="s">
        <v>8</v>
      </c>
      <c r="F981" t="s">
        <v>427</v>
      </c>
      <c r="G981" t="s">
        <v>428</v>
      </c>
      <c r="H981" t="s">
        <v>67</v>
      </c>
      <c r="I981" t="s">
        <v>1252</v>
      </c>
      <c r="J981" t="s">
        <v>40</v>
      </c>
      <c r="K981" t="s">
        <v>76</v>
      </c>
      <c r="L981" t="s">
        <v>77</v>
      </c>
      <c r="M981" t="s">
        <v>88</v>
      </c>
      <c r="N981">
        <f t="shared" si="75"/>
        <v>21</v>
      </c>
      <c r="O981">
        <f t="shared" si="76"/>
        <v>5</v>
      </c>
      <c r="P981" t="str">
        <f t="shared" si="77"/>
        <v>Provided Guidance</v>
      </c>
      <c r="Q981" t="str">
        <f t="shared" si="78"/>
        <v>May</v>
      </c>
      <c r="R981" t="str">
        <f t="shared" si="79"/>
        <v>Week 21</v>
      </c>
    </row>
    <row r="982" spans="1:18" x14ac:dyDescent="0.2">
      <c r="A982">
        <v>244288</v>
      </c>
      <c r="B982" s="2">
        <v>45433</v>
      </c>
      <c r="C982" t="s">
        <v>65</v>
      </c>
      <c r="D982" t="s">
        <v>66</v>
      </c>
      <c r="E982" t="s">
        <v>8</v>
      </c>
      <c r="F982" t="s">
        <v>427</v>
      </c>
      <c r="G982" t="s">
        <v>428</v>
      </c>
      <c r="H982" t="s">
        <v>67</v>
      </c>
      <c r="I982" t="s">
        <v>1253</v>
      </c>
      <c r="J982" t="s">
        <v>40</v>
      </c>
      <c r="K982" t="s">
        <v>76</v>
      </c>
      <c r="L982" t="s">
        <v>77</v>
      </c>
      <c r="M982" t="s">
        <v>1254</v>
      </c>
      <c r="N982">
        <f t="shared" si="75"/>
        <v>21</v>
      </c>
      <c r="O982">
        <f t="shared" si="76"/>
        <v>5</v>
      </c>
      <c r="P982" t="str">
        <f t="shared" si="77"/>
        <v>Provided Guidance</v>
      </c>
      <c r="Q982" t="str">
        <f t="shared" si="78"/>
        <v>May</v>
      </c>
      <c r="R982" t="str">
        <f t="shared" si="79"/>
        <v>Week 21</v>
      </c>
    </row>
    <row r="983" spans="1:18" x14ac:dyDescent="0.2">
      <c r="A983">
        <v>244289</v>
      </c>
      <c r="B983" s="2">
        <v>45433</v>
      </c>
      <c r="C983" t="s">
        <v>65</v>
      </c>
      <c r="D983" t="s">
        <v>66</v>
      </c>
      <c r="E983" t="s">
        <v>8</v>
      </c>
      <c r="F983" t="s">
        <v>427</v>
      </c>
      <c r="G983" t="s">
        <v>428</v>
      </c>
      <c r="H983" t="s">
        <v>67</v>
      </c>
      <c r="I983" t="s">
        <v>1255</v>
      </c>
      <c r="J983" t="s">
        <v>40</v>
      </c>
      <c r="K983" t="s">
        <v>76</v>
      </c>
      <c r="L983" t="s">
        <v>77</v>
      </c>
      <c r="M983" t="s">
        <v>1256</v>
      </c>
      <c r="N983">
        <f t="shared" si="75"/>
        <v>21</v>
      </c>
      <c r="O983">
        <f t="shared" si="76"/>
        <v>5</v>
      </c>
      <c r="P983" t="str">
        <f t="shared" si="77"/>
        <v>Provided Guidance</v>
      </c>
      <c r="Q983" t="str">
        <f t="shared" si="78"/>
        <v>May</v>
      </c>
      <c r="R983" t="str">
        <f t="shared" si="79"/>
        <v>Week 21</v>
      </c>
    </row>
    <row r="984" spans="1:18" x14ac:dyDescent="0.2">
      <c r="A984">
        <v>244290</v>
      </c>
      <c r="B984" s="2">
        <v>45433</v>
      </c>
      <c r="C984" t="s">
        <v>65</v>
      </c>
      <c r="D984" t="s">
        <v>66</v>
      </c>
      <c r="E984" t="s">
        <v>8</v>
      </c>
      <c r="F984" t="s">
        <v>427</v>
      </c>
      <c r="G984" t="s">
        <v>428</v>
      </c>
      <c r="H984" t="s">
        <v>67</v>
      </c>
      <c r="I984" t="s">
        <v>1257</v>
      </c>
      <c r="J984" t="s">
        <v>40</v>
      </c>
      <c r="K984" t="s">
        <v>76</v>
      </c>
      <c r="L984" t="s">
        <v>77</v>
      </c>
      <c r="M984" t="s">
        <v>1258</v>
      </c>
      <c r="N984">
        <f t="shared" si="75"/>
        <v>21</v>
      </c>
      <c r="O984">
        <f t="shared" si="76"/>
        <v>5</v>
      </c>
      <c r="P984" t="str">
        <f t="shared" si="77"/>
        <v>Provided Guidance</v>
      </c>
      <c r="Q984" t="str">
        <f t="shared" si="78"/>
        <v>May</v>
      </c>
      <c r="R984" t="str">
        <f t="shared" si="79"/>
        <v>Week 21</v>
      </c>
    </row>
    <row r="985" spans="1:18" x14ac:dyDescent="0.2">
      <c r="A985">
        <v>244291</v>
      </c>
      <c r="B985" s="2">
        <v>45433</v>
      </c>
      <c r="C985" t="s">
        <v>65</v>
      </c>
      <c r="D985" t="s">
        <v>66</v>
      </c>
      <c r="E985" t="s">
        <v>8</v>
      </c>
      <c r="F985" t="s">
        <v>427</v>
      </c>
      <c r="G985" t="s">
        <v>428</v>
      </c>
      <c r="H985" t="s">
        <v>67</v>
      </c>
      <c r="I985" t="s">
        <v>1259</v>
      </c>
      <c r="J985" t="s">
        <v>40</v>
      </c>
      <c r="K985" t="s">
        <v>76</v>
      </c>
      <c r="L985" t="s">
        <v>77</v>
      </c>
      <c r="M985" t="s">
        <v>1260</v>
      </c>
      <c r="N985">
        <f t="shared" si="75"/>
        <v>21</v>
      </c>
      <c r="O985">
        <f t="shared" si="76"/>
        <v>5</v>
      </c>
      <c r="P985" t="str">
        <f t="shared" si="77"/>
        <v>Provided Guidance</v>
      </c>
      <c r="Q985" t="str">
        <f t="shared" si="78"/>
        <v>May</v>
      </c>
      <c r="R985" t="str">
        <f t="shared" si="79"/>
        <v>Week 21</v>
      </c>
    </row>
    <row r="986" spans="1:18" x14ac:dyDescent="0.2">
      <c r="A986">
        <v>244292</v>
      </c>
      <c r="B986" s="2">
        <v>45433</v>
      </c>
      <c r="C986" t="s">
        <v>65</v>
      </c>
      <c r="D986" t="s">
        <v>66</v>
      </c>
      <c r="E986" t="s">
        <v>8</v>
      </c>
      <c r="F986" t="s">
        <v>427</v>
      </c>
      <c r="G986" t="s">
        <v>428</v>
      </c>
      <c r="H986" t="s">
        <v>67</v>
      </c>
      <c r="I986" t="s">
        <v>1261</v>
      </c>
      <c r="J986" t="s">
        <v>40</v>
      </c>
      <c r="K986" t="s">
        <v>76</v>
      </c>
      <c r="L986" t="s">
        <v>77</v>
      </c>
      <c r="M986" t="s">
        <v>82</v>
      </c>
      <c r="N986">
        <f t="shared" si="75"/>
        <v>21</v>
      </c>
      <c r="O986">
        <f t="shared" si="76"/>
        <v>5</v>
      </c>
      <c r="P986" t="str">
        <f t="shared" si="77"/>
        <v>Provided Guidance</v>
      </c>
      <c r="Q986" t="str">
        <f t="shared" si="78"/>
        <v>May</v>
      </c>
      <c r="R986" t="str">
        <f t="shared" si="79"/>
        <v>Week 21</v>
      </c>
    </row>
    <row r="987" spans="1:18" x14ac:dyDescent="0.2">
      <c r="A987">
        <v>244293</v>
      </c>
      <c r="B987" s="2">
        <v>45433</v>
      </c>
      <c r="C987" t="s">
        <v>65</v>
      </c>
      <c r="D987" t="s">
        <v>66</v>
      </c>
      <c r="E987" t="s">
        <v>8</v>
      </c>
      <c r="F987" t="s">
        <v>427</v>
      </c>
      <c r="G987" t="s">
        <v>428</v>
      </c>
      <c r="H987" t="s">
        <v>67</v>
      </c>
      <c r="I987" t="s">
        <v>1262</v>
      </c>
      <c r="J987" t="s">
        <v>40</v>
      </c>
      <c r="K987" t="s">
        <v>76</v>
      </c>
      <c r="L987" t="s">
        <v>77</v>
      </c>
      <c r="M987" t="s">
        <v>1263</v>
      </c>
      <c r="N987">
        <f t="shared" si="75"/>
        <v>21</v>
      </c>
      <c r="O987">
        <f t="shared" si="76"/>
        <v>5</v>
      </c>
      <c r="P987" t="str">
        <f t="shared" si="77"/>
        <v>Provided Guidance</v>
      </c>
      <c r="Q987" t="str">
        <f t="shared" si="78"/>
        <v>May</v>
      </c>
      <c r="R987" t="str">
        <f t="shared" si="79"/>
        <v>Week 21</v>
      </c>
    </row>
    <row r="988" spans="1:18" x14ac:dyDescent="0.2">
      <c r="A988">
        <v>244294</v>
      </c>
      <c r="B988" s="2">
        <v>45433</v>
      </c>
      <c r="C988" t="s">
        <v>65</v>
      </c>
      <c r="D988" t="s">
        <v>66</v>
      </c>
      <c r="E988" t="s">
        <v>8</v>
      </c>
      <c r="F988" t="s">
        <v>427</v>
      </c>
      <c r="G988" t="s">
        <v>428</v>
      </c>
      <c r="H988" t="s">
        <v>67</v>
      </c>
      <c r="I988" t="s">
        <v>1264</v>
      </c>
      <c r="J988" t="s">
        <v>40</v>
      </c>
      <c r="K988" t="s">
        <v>76</v>
      </c>
      <c r="L988" t="s">
        <v>77</v>
      </c>
      <c r="M988" t="s">
        <v>387</v>
      </c>
      <c r="N988">
        <f t="shared" si="75"/>
        <v>21</v>
      </c>
      <c r="O988">
        <f t="shared" si="76"/>
        <v>5</v>
      </c>
      <c r="P988" t="str">
        <f t="shared" si="77"/>
        <v>Provided Guidance</v>
      </c>
      <c r="Q988" t="str">
        <f t="shared" si="78"/>
        <v>May</v>
      </c>
      <c r="R988" t="str">
        <f t="shared" si="79"/>
        <v>Week 21</v>
      </c>
    </row>
    <row r="989" spans="1:18" x14ac:dyDescent="0.2">
      <c r="A989">
        <v>244295</v>
      </c>
      <c r="B989" s="2">
        <v>45433</v>
      </c>
      <c r="C989" t="s">
        <v>65</v>
      </c>
      <c r="D989" t="s">
        <v>66</v>
      </c>
      <c r="E989" t="s">
        <v>8</v>
      </c>
      <c r="F989" t="s">
        <v>427</v>
      </c>
      <c r="G989" t="s">
        <v>428</v>
      </c>
      <c r="H989" t="s">
        <v>67</v>
      </c>
      <c r="I989" t="s">
        <v>1265</v>
      </c>
      <c r="J989" t="s">
        <v>40</v>
      </c>
      <c r="K989" t="s">
        <v>76</v>
      </c>
      <c r="L989" t="s">
        <v>77</v>
      </c>
      <c r="M989" t="s">
        <v>1212</v>
      </c>
      <c r="N989">
        <f t="shared" si="75"/>
        <v>21</v>
      </c>
      <c r="O989">
        <f t="shared" si="76"/>
        <v>5</v>
      </c>
      <c r="P989" t="str">
        <f t="shared" si="77"/>
        <v>Provided Guidance</v>
      </c>
      <c r="Q989" t="str">
        <f t="shared" si="78"/>
        <v>May</v>
      </c>
      <c r="R989" t="str">
        <f t="shared" si="79"/>
        <v>Week 21</v>
      </c>
    </row>
    <row r="990" spans="1:18" x14ac:dyDescent="0.2">
      <c r="A990">
        <v>244296</v>
      </c>
      <c r="B990" s="2">
        <v>45433</v>
      </c>
      <c r="C990" t="s">
        <v>65</v>
      </c>
      <c r="D990" t="s">
        <v>66</v>
      </c>
      <c r="E990" t="s">
        <v>8</v>
      </c>
      <c r="F990" t="s">
        <v>427</v>
      </c>
      <c r="G990" t="s">
        <v>428</v>
      </c>
      <c r="H990" t="s">
        <v>67</v>
      </c>
      <c r="I990" t="s">
        <v>1266</v>
      </c>
      <c r="J990" t="s">
        <v>40</v>
      </c>
      <c r="K990" t="s">
        <v>76</v>
      </c>
      <c r="L990" t="s">
        <v>77</v>
      </c>
      <c r="M990" t="s">
        <v>1217</v>
      </c>
      <c r="N990">
        <f t="shared" si="75"/>
        <v>21</v>
      </c>
      <c r="O990">
        <f t="shared" si="76"/>
        <v>5</v>
      </c>
      <c r="P990" t="str">
        <f t="shared" si="77"/>
        <v>Provided Guidance</v>
      </c>
      <c r="Q990" t="str">
        <f t="shared" si="78"/>
        <v>May</v>
      </c>
      <c r="R990" t="str">
        <f t="shared" si="79"/>
        <v>Week 21</v>
      </c>
    </row>
    <row r="991" spans="1:18" x14ac:dyDescent="0.2">
      <c r="A991">
        <v>244297</v>
      </c>
      <c r="B991" s="2">
        <v>45433</v>
      </c>
      <c r="C991" t="s">
        <v>65</v>
      </c>
      <c r="D991" t="s">
        <v>66</v>
      </c>
      <c r="E991" t="s">
        <v>8</v>
      </c>
      <c r="F991" t="s">
        <v>427</v>
      </c>
      <c r="G991" t="s">
        <v>428</v>
      </c>
      <c r="H991" t="s">
        <v>67</v>
      </c>
      <c r="I991" t="s">
        <v>1267</v>
      </c>
      <c r="J991" t="s">
        <v>40</v>
      </c>
      <c r="K991" t="s">
        <v>76</v>
      </c>
      <c r="L991" t="s">
        <v>77</v>
      </c>
      <c r="M991" t="s">
        <v>397</v>
      </c>
      <c r="N991">
        <f t="shared" si="75"/>
        <v>21</v>
      </c>
      <c r="O991">
        <f t="shared" si="76"/>
        <v>5</v>
      </c>
      <c r="P991" t="str">
        <f t="shared" si="77"/>
        <v>Provided Guidance</v>
      </c>
      <c r="Q991" t="str">
        <f t="shared" si="78"/>
        <v>May</v>
      </c>
      <c r="R991" t="str">
        <f t="shared" si="79"/>
        <v>Week 21</v>
      </c>
    </row>
    <row r="992" spans="1:18" x14ac:dyDescent="0.2">
      <c r="A992">
        <v>244298</v>
      </c>
      <c r="B992" s="2">
        <v>45433</v>
      </c>
      <c r="C992" t="s">
        <v>65</v>
      </c>
      <c r="D992" t="s">
        <v>66</v>
      </c>
      <c r="E992" t="s">
        <v>8</v>
      </c>
      <c r="F992" t="s">
        <v>427</v>
      </c>
      <c r="G992" t="s">
        <v>428</v>
      </c>
      <c r="H992" t="s">
        <v>67</v>
      </c>
      <c r="I992" t="s">
        <v>1268</v>
      </c>
      <c r="J992" t="s">
        <v>40</v>
      </c>
      <c r="K992" t="s">
        <v>76</v>
      </c>
      <c r="L992" t="s">
        <v>77</v>
      </c>
      <c r="M992" t="s">
        <v>1269</v>
      </c>
      <c r="N992">
        <f t="shared" si="75"/>
        <v>21</v>
      </c>
      <c r="O992">
        <f t="shared" si="76"/>
        <v>5</v>
      </c>
      <c r="P992" t="str">
        <f t="shared" si="77"/>
        <v>Provided Guidance</v>
      </c>
      <c r="Q992" t="str">
        <f t="shared" si="78"/>
        <v>May</v>
      </c>
      <c r="R992" t="str">
        <f t="shared" si="79"/>
        <v>Week 21</v>
      </c>
    </row>
    <row r="993" spans="1:18" x14ac:dyDescent="0.2">
      <c r="A993">
        <v>244299</v>
      </c>
      <c r="B993" s="2">
        <v>45433</v>
      </c>
      <c r="C993" t="s">
        <v>65</v>
      </c>
      <c r="D993" t="s">
        <v>66</v>
      </c>
      <c r="E993" t="s">
        <v>8</v>
      </c>
      <c r="F993" t="s">
        <v>427</v>
      </c>
      <c r="G993" t="s">
        <v>428</v>
      </c>
      <c r="H993" t="s">
        <v>67</v>
      </c>
      <c r="I993" t="s">
        <v>1270</v>
      </c>
      <c r="J993" t="s">
        <v>40</v>
      </c>
      <c r="K993" t="s">
        <v>76</v>
      </c>
      <c r="L993" t="s">
        <v>77</v>
      </c>
      <c r="M993" t="s">
        <v>1271</v>
      </c>
      <c r="N993">
        <f t="shared" si="75"/>
        <v>21</v>
      </c>
      <c r="O993">
        <f t="shared" si="76"/>
        <v>5</v>
      </c>
      <c r="P993" t="str">
        <f t="shared" si="77"/>
        <v>Provided Guidance</v>
      </c>
      <c r="Q993" t="str">
        <f t="shared" si="78"/>
        <v>May</v>
      </c>
      <c r="R993" t="str">
        <f t="shared" si="79"/>
        <v>Week 21</v>
      </c>
    </row>
    <row r="994" spans="1:18" x14ac:dyDescent="0.2">
      <c r="A994">
        <v>244300</v>
      </c>
      <c r="B994" s="2">
        <v>45433</v>
      </c>
      <c r="C994" t="s">
        <v>65</v>
      </c>
      <c r="D994" t="s">
        <v>66</v>
      </c>
      <c r="E994" t="s">
        <v>8</v>
      </c>
      <c r="F994" t="s">
        <v>427</v>
      </c>
      <c r="G994" t="s">
        <v>428</v>
      </c>
      <c r="H994" t="s">
        <v>67</v>
      </c>
      <c r="I994" t="s">
        <v>1272</v>
      </c>
      <c r="J994" t="s">
        <v>40</v>
      </c>
      <c r="K994" t="s">
        <v>76</v>
      </c>
      <c r="L994" t="s">
        <v>77</v>
      </c>
      <c r="M994" t="s">
        <v>1273</v>
      </c>
      <c r="N994">
        <f t="shared" si="75"/>
        <v>21</v>
      </c>
      <c r="O994">
        <f t="shared" si="76"/>
        <v>5</v>
      </c>
      <c r="P994" t="str">
        <f t="shared" si="77"/>
        <v>Provided Guidance</v>
      </c>
      <c r="Q994" t="str">
        <f t="shared" si="78"/>
        <v>May</v>
      </c>
      <c r="R994" t="str">
        <f t="shared" si="79"/>
        <v>Week 21</v>
      </c>
    </row>
    <row r="995" spans="1:18" ht="45" customHeight="1" x14ac:dyDescent="0.2">
      <c r="A995">
        <v>244301</v>
      </c>
      <c r="B995" s="2">
        <v>45433</v>
      </c>
      <c r="C995" t="s">
        <v>65</v>
      </c>
      <c r="D995" t="s">
        <v>66</v>
      </c>
      <c r="E995" t="s">
        <v>8</v>
      </c>
      <c r="F995" t="s">
        <v>427</v>
      </c>
      <c r="G995" t="s">
        <v>428</v>
      </c>
      <c r="H995" t="s">
        <v>67</v>
      </c>
      <c r="I995" t="s">
        <v>1274</v>
      </c>
      <c r="J995" t="s">
        <v>40</v>
      </c>
      <c r="K995" t="s">
        <v>76</v>
      </c>
      <c r="L995" t="s">
        <v>77</v>
      </c>
      <c r="M995" s="8" t="s">
        <v>1275</v>
      </c>
      <c r="N995">
        <f t="shared" si="75"/>
        <v>21</v>
      </c>
      <c r="O995">
        <f t="shared" si="76"/>
        <v>5</v>
      </c>
      <c r="P995" t="str">
        <f t="shared" si="77"/>
        <v>Provided Guidance</v>
      </c>
      <c r="Q995" t="str">
        <f t="shared" si="78"/>
        <v>May</v>
      </c>
      <c r="R995" t="str">
        <f t="shared" si="79"/>
        <v>Week 21</v>
      </c>
    </row>
    <row r="996" spans="1:18" x14ac:dyDescent="0.2">
      <c r="A996">
        <v>244302</v>
      </c>
      <c r="B996" s="2">
        <v>45433</v>
      </c>
      <c r="C996" t="s">
        <v>65</v>
      </c>
      <c r="D996" t="s">
        <v>66</v>
      </c>
      <c r="E996" t="s">
        <v>8</v>
      </c>
      <c r="F996" t="s">
        <v>427</v>
      </c>
      <c r="G996" t="s">
        <v>428</v>
      </c>
      <c r="H996" t="s">
        <v>67</v>
      </c>
      <c r="I996" t="s">
        <v>1276</v>
      </c>
      <c r="J996" t="s">
        <v>40</v>
      </c>
      <c r="K996" t="s">
        <v>76</v>
      </c>
      <c r="L996" t="s">
        <v>77</v>
      </c>
      <c r="M996" t="s">
        <v>1277</v>
      </c>
      <c r="N996">
        <f t="shared" si="75"/>
        <v>21</v>
      </c>
      <c r="O996">
        <f t="shared" si="76"/>
        <v>5</v>
      </c>
      <c r="P996" t="str">
        <f t="shared" si="77"/>
        <v>Provided Guidance</v>
      </c>
      <c r="Q996" t="str">
        <f t="shared" si="78"/>
        <v>May</v>
      </c>
      <c r="R996" t="str">
        <f t="shared" si="79"/>
        <v>Week 21</v>
      </c>
    </row>
    <row r="997" spans="1:18" x14ac:dyDescent="0.2">
      <c r="A997">
        <v>244305</v>
      </c>
      <c r="B997" s="2">
        <v>45433</v>
      </c>
      <c r="C997" t="s">
        <v>65</v>
      </c>
      <c r="D997" t="s">
        <v>66</v>
      </c>
      <c r="E997" t="s">
        <v>8</v>
      </c>
      <c r="F997" t="s">
        <v>9</v>
      </c>
      <c r="G997" t="s">
        <v>10</v>
      </c>
      <c r="H997" t="s">
        <v>67</v>
      </c>
      <c r="I997" t="s">
        <v>1278</v>
      </c>
      <c r="J997" t="s">
        <v>36</v>
      </c>
      <c r="K997" t="s">
        <v>1279</v>
      </c>
      <c r="L997" t="s">
        <v>70</v>
      </c>
      <c r="N997">
        <f t="shared" si="75"/>
        <v>21</v>
      </c>
      <c r="O997">
        <f t="shared" si="76"/>
        <v>5</v>
      </c>
      <c r="P997" t="str">
        <f t="shared" si="77"/>
        <v>Observed Better</v>
      </c>
      <c r="Q997" t="str">
        <f t="shared" si="78"/>
        <v>May</v>
      </c>
      <c r="R997" t="str">
        <f t="shared" si="79"/>
        <v>Week 21</v>
      </c>
    </row>
    <row r="998" spans="1:18" x14ac:dyDescent="0.2">
      <c r="A998">
        <v>244306</v>
      </c>
      <c r="B998" s="2">
        <v>45433</v>
      </c>
      <c r="C998" t="s">
        <v>65</v>
      </c>
      <c r="D998" t="s">
        <v>66</v>
      </c>
      <c r="E998" t="s">
        <v>20</v>
      </c>
      <c r="F998" t="s">
        <v>10</v>
      </c>
      <c r="G998" t="s">
        <v>23</v>
      </c>
      <c r="H998" t="s">
        <v>67</v>
      </c>
      <c r="I998" t="s">
        <v>1280</v>
      </c>
      <c r="J998" t="s">
        <v>36</v>
      </c>
      <c r="K998" t="s">
        <v>1279</v>
      </c>
      <c r="L998" t="s">
        <v>70</v>
      </c>
      <c r="N998">
        <f t="shared" si="75"/>
        <v>21</v>
      </c>
      <c r="O998">
        <f t="shared" si="76"/>
        <v>5</v>
      </c>
      <c r="P998" t="str">
        <f t="shared" si="77"/>
        <v>Observed Better</v>
      </c>
      <c r="Q998" t="str">
        <f t="shared" si="78"/>
        <v>May</v>
      </c>
      <c r="R998" t="str">
        <f t="shared" si="79"/>
        <v>Week 21</v>
      </c>
    </row>
    <row r="999" spans="1:18" x14ac:dyDescent="0.2">
      <c r="A999">
        <v>244307</v>
      </c>
      <c r="B999" s="2">
        <v>45433</v>
      </c>
      <c r="C999" t="s">
        <v>65</v>
      </c>
      <c r="D999" t="s">
        <v>66</v>
      </c>
      <c r="E999" t="s">
        <v>20</v>
      </c>
      <c r="F999" t="s">
        <v>21</v>
      </c>
      <c r="G999" t="s">
        <v>73</v>
      </c>
      <c r="H999" t="s">
        <v>67</v>
      </c>
      <c r="I999" t="s">
        <v>1281</v>
      </c>
      <c r="J999" t="s">
        <v>36</v>
      </c>
      <c r="K999" t="s">
        <v>1279</v>
      </c>
      <c r="L999" t="s">
        <v>70</v>
      </c>
      <c r="N999">
        <f t="shared" si="75"/>
        <v>21</v>
      </c>
      <c r="O999">
        <f t="shared" si="76"/>
        <v>5</v>
      </c>
      <c r="P999" t="str">
        <f t="shared" si="77"/>
        <v>Observed Better</v>
      </c>
      <c r="Q999" t="str">
        <f t="shared" si="78"/>
        <v>May</v>
      </c>
      <c r="R999" t="str">
        <f t="shared" si="79"/>
        <v>Week 21</v>
      </c>
    </row>
    <row r="1000" spans="1:18" x14ac:dyDescent="0.2">
      <c r="A1000">
        <v>244311</v>
      </c>
      <c r="B1000" s="2">
        <v>45433</v>
      </c>
      <c r="C1000" t="s">
        <v>65</v>
      </c>
      <c r="D1000" t="s">
        <v>66</v>
      </c>
      <c r="E1000" t="s">
        <v>20</v>
      </c>
      <c r="F1000" t="s">
        <v>21</v>
      </c>
      <c r="G1000" t="s">
        <v>22</v>
      </c>
      <c r="H1000" t="s">
        <v>67</v>
      </c>
      <c r="I1000" t="s">
        <v>1282</v>
      </c>
      <c r="J1000" t="s">
        <v>38</v>
      </c>
      <c r="K1000" t="s">
        <v>97</v>
      </c>
      <c r="L1000" t="s">
        <v>70</v>
      </c>
      <c r="M1000" t="s">
        <v>1283</v>
      </c>
      <c r="N1000">
        <f t="shared" si="75"/>
        <v>21</v>
      </c>
      <c r="O1000">
        <f t="shared" si="76"/>
        <v>5</v>
      </c>
      <c r="P1000" t="str">
        <f t="shared" si="77"/>
        <v>Observed Better</v>
      </c>
      <c r="Q1000" t="str">
        <f t="shared" si="78"/>
        <v>May</v>
      </c>
      <c r="R1000" t="str">
        <f t="shared" si="79"/>
        <v>Week 21</v>
      </c>
    </row>
    <row r="1001" spans="1:18" x14ac:dyDescent="0.2">
      <c r="A1001">
        <v>244312</v>
      </c>
      <c r="B1001" s="2">
        <v>45433</v>
      </c>
      <c r="C1001" t="s">
        <v>65</v>
      </c>
      <c r="D1001" t="s">
        <v>66</v>
      </c>
      <c r="E1001" t="s">
        <v>20</v>
      </c>
      <c r="F1001" t="s">
        <v>235</v>
      </c>
      <c r="H1001" t="s">
        <v>67</v>
      </c>
      <c r="I1001" t="s">
        <v>1284</v>
      </c>
      <c r="J1001" t="s">
        <v>38</v>
      </c>
      <c r="K1001" t="s">
        <v>97</v>
      </c>
      <c r="L1001" t="s">
        <v>70</v>
      </c>
      <c r="M1001" t="s">
        <v>1285</v>
      </c>
      <c r="N1001">
        <f t="shared" si="75"/>
        <v>21</v>
      </c>
      <c r="O1001">
        <f t="shared" si="76"/>
        <v>5</v>
      </c>
      <c r="P1001" t="str">
        <f t="shared" si="77"/>
        <v>Observed Better</v>
      </c>
      <c r="Q1001" t="str">
        <f t="shared" si="78"/>
        <v>May</v>
      </c>
      <c r="R1001" t="str">
        <f t="shared" si="79"/>
        <v>Week 21</v>
      </c>
    </row>
    <row r="1002" spans="1:18" x14ac:dyDescent="0.2">
      <c r="A1002">
        <v>244313</v>
      </c>
      <c r="B1002" s="2">
        <v>45433</v>
      </c>
      <c r="C1002" t="s">
        <v>65</v>
      </c>
      <c r="D1002" t="s">
        <v>66</v>
      </c>
      <c r="E1002" t="s">
        <v>20</v>
      </c>
      <c r="F1002" t="s">
        <v>10</v>
      </c>
      <c r="G1002" t="s">
        <v>23</v>
      </c>
      <c r="H1002" t="s">
        <v>67</v>
      </c>
      <c r="I1002" t="s">
        <v>1286</v>
      </c>
      <c r="J1002" t="s">
        <v>38</v>
      </c>
      <c r="K1002" t="s">
        <v>97</v>
      </c>
      <c r="L1002" t="s">
        <v>70</v>
      </c>
      <c r="M1002" t="s">
        <v>1287</v>
      </c>
      <c r="N1002">
        <f t="shared" si="75"/>
        <v>21</v>
      </c>
      <c r="O1002">
        <f t="shared" si="76"/>
        <v>5</v>
      </c>
      <c r="P1002" t="str">
        <f t="shared" si="77"/>
        <v>Observed Better</v>
      </c>
      <c r="Q1002" t="str">
        <f t="shared" si="78"/>
        <v>May</v>
      </c>
      <c r="R1002" t="str">
        <f t="shared" si="79"/>
        <v>Week 21</v>
      </c>
    </row>
    <row r="1003" spans="1:18" x14ac:dyDescent="0.2">
      <c r="A1003">
        <v>244314</v>
      </c>
      <c r="B1003" s="2">
        <v>45433</v>
      </c>
      <c r="C1003" t="s">
        <v>65</v>
      </c>
      <c r="D1003" t="s">
        <v>66</v>
      </c>
      <c r="E1003" t="s">
        <v>16</v>
      </c>
      <c r="F1003" t="s">
        <v>17</v>
      </c>
      <c r="H1003" t="s">
        <v>67</v>
      </c>
      <c r="I1003" t="s">
        <v>1288</v>
      </c>
      <c r="J1003" t="s">
        <v>38</v>
      </c>
      <c r="K1003" t="s">
        <v>97</v>
      </c>
      <c r="L1003" t="s">
        <v>70</v>
      </c>
      <c r="M1003" t="s">
        <v>1289</v>
      </c>
      <c r="N1003">
        <f t="shared" si="75"/>
        <v>21</v>
      </c>
      <c r="O1003">
        <f t="shared" si="76"/>
        <v>5</v>
      </c>
      <c r="P1003" t="str">
        <f t="shared" si="77"/>
        <v>Observed Better</v>
      </c>
      <c r="Q1003" t="str">
        <f t="shared" si="78"/>
        <v>May</v>
      </c>
      <c r="R1003" t="str">
        <f t="shared" si="79"/>
        <v>Week 21</v>
      </c>
    </row>
    <row r="1004" spans="1:18" x14ac:dyDescent="0.2">
      <c r="A1004">
        <v>244315</v>
      </c>
      <c r="B1004" s="2">
        <v>45433</v>
      </c>
      <c r="C1004" t="s">
        <v>65</v>
      </c>
      <c r="D1004" t="s">
        <v>66</v>
      </c>
      <c r="E1004" t="s">
        <v>16</v>
      </c>
      <c r="F1004" t="s">
        <v>162</v>
      </c>
      <c r="H1004" t="s">
        <v>67</v>
      </c>
      <c r="I1004" t="s">
        <v>1290</v>
      </c>
      <c r="J1004" t="s">
        <v>38</v>
      </c>
      <c r="K1004" t="s">
        <v>97</v>
      </c>
      <c r="L1004" t="s">
        <v>70</v>
      </c>
      <c r="M1004" t="s">
        <v>1291</v>
      </c>
      <c r="N1004">
        <f t="shared" si="75"/>
        <v>21</v>
      </c>
      <c r="O1004">
        <f t="shared" si="76"/>
        <v>5</v>
      </c>
      <c r="P1004" t="str">
        <f t="shared" si="77"/>
        <v>Observed Better</v>
      </c>
      <c r="Q1004" t="str">
        <f t="shared" si="78"/>
        <v>May</v>
      </c>
      <c r="R1004" t="str">
        <f t="shared" si="79"/>
        <v>Week 21</v>
      </c>
    </row>
    <row r="1005" spans="1:18" x14ac:dyDescent="0.2">
      <c r="A1005">
        <v>244316</v>
      </c>
      <c r="B1005" s="2">
        <v>45433</v>
      </c>
      <c r="C1005" t="s">
        <v>65</v>
      </c>
      <c r="D1005" t="s">
        <v>66</v>
      </c>
      <c r="E1005" t="s">
        <v>16</v>
      </c>
      <c r="F1005" t="s">
        <v>19</v>
      </c>
      <c r="H1005" t="s">
        <v>67</v>
      </c>
      <c r="I1005" t="s">
        <v>1292</v>
      </c>
      <c r="J1005" t="s">
        <v>38</v>
      </c>
      <c r="K1005" t="s">
        <v>97</v>
      </c>
      <c r="L1005" t="s">
        <v>70</v>
      </c>
      <c r="M1005" t="s">
        <v>1293</v>
      </c>
      <c r="N1005">
        <f t="shared" si="75"/>
        <v>21</v>
      </c>
      <c r="O1005">
        <f t="shared" si="76"/>
        <v>5</v>
      </c>
      <c r="P1005" t="str">
        <f t="shared" si="77"/>
        <v>Observed Better</v>
      </c>
      <c r="Q1005" t="str">
        <f t="shared" si="78"/>
        <v>May</v>
      </c>
      <c r="R1005" t="str">
        <f t="shared" si="79"/>
        <v>Week 21</v>
      </c>
    </row>
    <row r="1006" spans="1:18" x14ac:dyDescent="0.2">
      <c r="A1006">
        <v>244317</v>
      </c>
      <c r="B1006" s="2">
        <v>45433</v>
      </c>
      <c r="C1006" t="s">
        <v>65</v>
      </c>
      <c r="D1006" t="s">
        <v>66</v>
      </c>
      <c r="E1006" t="s">
        <v>11</v>
      </c>
      <c r="F1006" t="s">
        <v>131</v>
      </c>
      <c r="G1006" t="s">
        <v>11</v>
      </c>
      <c r="H1006" t="s">
        <v>67</v>
      </c>
      <c r="I1006" t="s">
        <v>1294</v>
      </c>
      <c r="J1006" t="s">
        <v>38</v>
      </c>
      <c r="K1006" t="s">
        <v>97</v>
      </c>
      <c r="L1006" t="s">
        <v>70</v>
      </c>
      <c r="M1006" t="s">
        <v>1295</v>
      </c>
      <c r="N1006">
        <f t="shared" si="75"/>
        <v>21</v>
      </c>
      <c r="O1006">
        <f t="shared" si="76"/>
        <v>5</v>
      </c>
      <c r="P1006" t="str">
        <f t="shared" si="77"/>
        <v>Observed Better</v>
      </c>
      <c r="Q1006" t="str">
        <f t="shared" si="78"/>
        <v>May</v>
      </c>
      <c r="R1006" t="str">
        <f t="shared" si="79"/>
        <v>Week 21</v>
      </c>
    </row>
    <row r="1007" spans="1:18" x14ac:dyDescent="0.2">
      <c r="A1007">
        <v>244318</v>
      </c>
      <c r="B1007" s="2">
        <v>45433</v>
      </c>
      <c r="C1007" t="s">
        <v>65</v>
      </c>
      <c r="D1007" t="s">
        <v>66</v>
      </c>
      <c r="E1007" t="s">
        <v>8</v>
      </c>
      <c r="F1007" t="s">
        <v>9</v>
      </c>
      <c r="G1007" t="s">
        <v>11</v>
      </c>
      <c r="H1007" t="s">
        <v>67</v>
      </c>
      <c r="I1007" t="s">
        <v>1296</v>
      </c>
      <c r="J1007" t="s">
        <v>251</v>
      </c>
      <c r="K1007" t="s">
        <v>252</v>
      </c>
      <c r="L1007" t="s">
        <v>77</v>
      </c>
      <c r="N1007">
        <f t="shared" si="75"/>
        <v>21</v>
      </c>
      <c r="O1007">
        <f t="shared" si="76"/>
        <v>5</v>
      </c>
      <c r="P1007" t="str">
        <f t="shared" si="77"/>
        <v>Provided Guidance</v>
      </c>
      <c r="Q1007" t="str">
        <f t="shared" si="78"/>
        <v>May</v>
      </c>
      <c r="R1007" t="str">
        <f t="shared" si="79"/>
        <v>Week 21</v>
      </c>
    </row>
    <row r="1008" spans="1:18" x14ac:dyDescent="0.2">
      <c r="A1008">
        <v>244319</v>
      </c>
      <c r="B1008" s="2">
        <v>45433</v>
      </c>
      <c r="C1008" t="s">
        <v>65</v>
      </c>
      <c r="D1008" t="s">
        <v>66</v>
      </c>
      <c r="E1008" t="s">
        <v>20</v>
      </c>
      <c r="F1008" t="s">
        <v>21</v>
      </c>
      <c r="G1008" t="s">
        <v>73</v>
      </c>
      <c r="H1008" t="s">
        <v>67</v>
      </c>
      <c r="I1008" t="s">
        <v>1297</v>
      </c>
      <c r="J1008" t="s">
        <v>251</v>
      </c>
      <c r="K1008" t="s">
        <v>252</v>
      </c>
      <c r="L1008" t="s">
        <v>77</v>
      </c>
      <c r="N1008">
        <f t="shared" si="75"/>
        <v>21</v>
      </c>
      <c r="O1008">
        <f t="shared" si="76"/>
        <v>5</v>
      </c>
      <c r="P1008" t="str">
        <f t="shared" si="77"/>
        <v>Provided Guidance</v>
      </c>
      <c r="Q1008" t="str">
        <f t="shared" si="78"/>
        <v>May</v>
      </c>
      <c r="R1008" t="str">
        <f t="shared" si="79"/>
        <v>Week 21</v>
      </c>
    </row>
    <row r="1009" spans="1:18" x14ac:dyDescent="0.2">
      <c r="A1009">
        <v>244320</v>
      </c>
      <c r="B1009" s="2">
        <v>45433</v>
      </c>
      <c r="C1009" t="s">
        <v>65</v>
      </c>
      <c r="D1009" t="s">
        <v>66</v>
      </c>
      <c r="E1009" t="s">
        <v>8</v>
      </c>
      <c r="F1009" t="s">
        <v>9</v>
      </c>
      <c r="G1009" t="s">
        <v>10</v>
      </c>
      <c r="H1009" t="s">
        <v>67</v>
      </c>
      <c r="I1009" t="s">
        <v>1298</v>
      </c>
      <c r="J1009" t="s">
        <v>251</v>
      </c>
      <c r="K1009" t="s">
        <v>252</v>
      </c>
      <c r="L1009" t="s">
        <v>77</v>
      </c>
      <c r="N1009">
        <f t="shared" si="75"/>
        <v>21</v>
      </c>
      <c r="O1009">
        <f t="shared" si="76"/>
        <v>5</v>
      </c>
      <c r="P1009" t="str">
        <f t="shared" si="77"/>
        <v>Provided Guidance</v>
      </c>
      <c r="Q1009" t="str">
        <f t="shared" si="78"/>
        <v>May</v>
      </c>
      <c r="R1009" t="str">
        <f t="shared" si="79"/>
        <v>Week 21</v>
      </c>
    </row>
    <row r="1010" spans="1:18" x14ac:dyDescent="0.2">
      <c r="A1010">
        <v>244324</v>
      </c>
      <c r="B1010" s="2">
        <v>45435</v>
      </c>
      <c r="C1010" t="s">
        <v>65</v>
      </c>
      <c r="D1010" t="s">
        <v>66</v>
      </c>
      <c r="E1010" t="s">
        <v>20</v>
      </c>
      <c r="F1010" t="s">
        <v>21</v>
      </c>
      <c r="G1010" t="s">
        <v>22</v>
      </c>
      <c r="H1010" t="s">
        <v>67</v>
      </c>
      <c r="I1010" t="s">
        <v>1299</v>
      </c>
      <c r="J1010" t="s">
        <v>39</v>
      </c>
      <c r="K1010" t="s">
        <v>244</v>
      </c>
      <c r="L1010" t="s">
        <v>70</v>
      </c>
      <c r="N1010">
        <f t="shared" si="75"/>
        <v>21</v>
      </c>
      <c r="O1010">
        <f t="shared" si="76"/>
        <v>5</v>
      </c>
      <c r="P1010" t="str">
        <f t="shared" si="77"/>
        <v>Observed Better</v>
      </c>
      <c r="Q1010" t="str">
        <f t="shared" si="78"/>
        <v>May</v>
      </c>
      <c r="R1010" t="str">
        <f t="shared" si="79"/>
        <v>Week 21</v>
      </c>
    </row>
    <row r="1011" spans="1:18" x14ac:dyDescent="0.2">
      <c r="A1011">
        <v>244325</v>
      </c>
      <c r="B1011" s="2">
        <v>45435</v>
      </c>
      <c r="C1011" t="s">
        <v>65</v>
      </c>
      <c r="D1011" t="s">
        <v>66</v>
      </c>
      <c r="E1011" t="s">
        <v>8</v>
      </c>
      <c r="F1011" t="s">
        <v>9</v>
      </c>
      <c r="G1011" t="s">
        <v>203</v>
      </c>
      <c r="H1011" t="s">
        <v>67</v>
      </c>
      <c r="I1011" t="s">
        <v>1300</v>
      </c>
      <c r="J1011" t="s">
        <v>39</v>
      </c>
      <c r="K1011" t="s">
        <v>244</v>
      </c>
      <c r="L1011" t="s">
        <v>77</v>
      </c>
      <c r="N1011">
        <f t="shared" si="75"/>
        <v>21</v>
      </c>
      <c r="O1011">
        <f t="shared" si="76"/>
        <v>5</v>
      </c>
      <c r="P1011" t="str">
        <f t="shared" si="77"/>
        <v>Provided Guidance</v>
      </c>
      <c r="Q1011" t="str">
        <f t="shared" si="78"/>
        <v>May</v>
      </c>
      <c r="R1011" t="str">
        <f t="shared" si="79"/>
        <v>Week 21</v>
      </c>
    </row>
    <row r="1012" spans="1:18" x14ac:dyDescent="0.2">
      <c r="A1012">
        <v>244326</v>
      </c>
      <c r="B1012" s="2">
        <v>45435</v>
      </c>
      <c r="C1012" t="s">
        <v>65</v>
      </c>
      <c r="D1012" t="s">
        <v>66</v>
      </c>
      <c r="E1012" t="s">
        <v>11</v>
      </c>
      <c r="F1012" t="s">
        <v>363</v>
      </c>
      <c r="G1012" t="s">
        <v>364</v>
      </c>
      <c r="H1012" t="s">
        <v>67</v>
      </c>
      <c r="I1012" t="s">
        <v>1301</v>
      </c>
      <c r="J1012" t="s">
        <v>39</v>
      </c>
      <c r="K1012" t="s">
        <v>244</v>
      </c>
      <c r="L1012" t="s">
        <v>77</v>
      </c>
      <c r="N1012">
        <f t="shared" si="75"/>
        <v>21</v>
      </c>
      <c r="O1012">
        <f t="shared" si="76"/>
        <v>5</v>
      </c>
      <c r="P1012" t="str">
        <f t="shared" si="77"/>
        <v>Provided Guidance</v>
      </c>
      <c r="Q1012" t="str">
        <f t="shared" si="78"/>
        <v>May</v>
      </c>
      <c r="R1012" t="str">
        <f t="shared" si="79"/>
        <v>Week 21</v>
      </c>
    </row>
    <row r="1013" spans="1:18" x14ac:dyDescent="0.2">
      <c r="A1013">
        <v>244327</v>
      </c>
      <c r="B1013" s="2">
        <v>45435</v>
      </c>
      <c r="C1013" t="s">
        <v>65</v>
      </c>
      <c r="D1013" t="s">
        <v>66</v>
      </c>
      <c r="E1013" t="s">
        <v>20</v>
      </c>
      <c r="F1013" t="s">
        <v>21</v>
      </c>
      <c r="G1013" t="s">
        <v>22</v>
      </c>
      <c r="H1013" t="s">
        <v>67</v>
      </c>
      <c r="I1013" t="s">
        <v>1302</v>
      </c>
      <c r="J1013" t="s">
        <v>41</v>
      </c>
      <c r="K1013" t="s">
        <v>92</v>
      </c>
      <c r="L1013" t="s">
        <v>77</v>
      </c>
      <c r="M1013" t="s">
        <v>1303</v>
      </c>
      <c r="N1013">
        <f t="shared" si="75"/>
        <v>21</v>
      </c>
      <c r="O1013">
        <f t="shared" si="76"/>
        <v>5</v>
      </c>
      <c r="P1013" t="str">
        <f t="shared" si="77"/>
        <v>Provided Guidance</v>
      </c>
      <c r="Q1013" t="str">
        <f t="shared" si="78"/>
        <v>May</v>
      </c>
      <c r="R1013" t="str">
        <f t="shared" si="79"/>
        <v>Week 21</v>
      </c>
    </row>
    <row r="1014" spans="1:18" x14ac:dyDescent="0.2">
      <c r="A1014">
        <v>244328</v>
      </c>
      <c r="B1014" s="2">
        <v>45435</v>
      </c>
      <c r="C1014" t="s">
        <v>65</v>
      </c>
      <c r="D1014" t="s">
        <v>66</v>
      </c>
      <c r="E1014" t="s">
        <v>24</v>
      </c>
      <c r="F1014" t="s">
        <v>10</v>
      </c>
      <c r="G1014" t="s">
        <v>26</v>
      </c>
      <c r="H1014" t="s">
        <v>67</v>
      </c>
      <c r="I1014" t="s">
        <v>1304</v>
      </c>
      <c r="J1014" t="s">
        <v>110</v>
      </c>
      <c r="K1014" t="s">
        <v>111</v>
      </c>
      <c r="L1014" t="s">
        <v>70</v>
      </c>
      <c r="N1014">
        <f t="shared" si="75"/>
        <v>21</v>
      </c>
      <c r="O1014">
        <f t="shared" si="76"/>
        <v>5</v>
      </c>
      <c r="P1014" t="str">
        <f t="shared" si="77"/>
        <v>Observed Better</v>
      </c>
      <c r="Q1014" t="str">
        <f t="shared" si="78"/>
        <v>May</v>
      </c>
      <c r="R1014" t="str">
        <f t="shared" si="79"/>
        <v>Week 21</v>
      </c>
    </row>
    <row r="1015" spans="1:18" x14ac:dyDescent="0.2">
      <c r="A1015">
        <v>244329</v>
      </c>
      <c r="B1015" s="2">
        <v>45435</v>
      </c>
      <c r="C1015" t="s">
        <v>65</v>
      </c>
      <c r="D1015" t="s">
        <v>66</v>
      </c>
      <c r="E1015" t="s">
        <v>24</v>
      </c>
      <c r="F1015" t="s">
        <v>10</v>
      </c>
      <c r="G1015" t="s">
        <v>26</v>
      </c>
      <c r="H1015" t="s">
        <v>67</v>
      </c>
      <c r="I1015" t="s">
        <v>1305</v>
      </c>
      <c r="J1015" t="s">
        <v>110</v>
      </c>
      <c r="K1015" t="s">
        <v>111</v>
      </c>
      <c r="L1015" t="s">
        <v>77</v>
      </c>
      <c r="N1015">
        <f t="shared" si="75"/>
        <v>21</v>
      </c>
      <c r="O1015">
        <f t="shared" si="76"/>
        <v>5</v>
      </c>
      <c r="P1015" t="str">
        <f t="shared" si="77"/>
        <v>Provided Guidance</v>
      </c>
      <c r="Q1015" t="str">
        <f t="shared" si="78"/>
        <v>May</v>
      </c>
      <c r="R1015" t="str">
        <f t="shared" si="79"/>
        <v>Week 21</v>
      </c>
    </row>
    <row r="1016" spans="1:18" x14ac:dyDescent="0.2">
      <c r="A1016">
        <v>244330</v>
      </c>
      <c r="B1016" s="2">
        <v>45435</v>
      </c>
      <c r="C1016" t="s">
        <v>65</v>
      </c>
      <c r="D1016" t="s">
        <v>66</v>
      </c>
      <c r="E1016" t="s">
        <v>24</v>
      </c>
      <c r="F1016" t="s">
        <v>10</v>
      </c>
      <c r="G1016" t="s">
        <v>26</v>
      </c>
      <c r="H1016" t="s">
        <v>67</v>
      </c>
      <c r="I1016" t="s">
        <v>1306</v>
      </c>
      <c r="J1016" t="s">
        <v>110</v>
      </c>
      <c r="K1016" t="s">
        <v>111</v>
      </c>
      <c r="L1016" t="s">
        <v>70</v>
      </c>
      <c r="N1016">
        <f t="shared" si="75"/>
        <v>21</v>
      </c>
      <c r="O1016">
        <f t="shared" si="76"/>
        <v>5</v>
      </c>
      <c r="P1016" t="str">
        <f t="shared" si="77"/>
        <v>Observed Better</v>
      </c>
      <c r="Q1016" t="str">
        <f t="shared" si="78"/>
        <v>May</v>
      </c>
      <c r="R1016" t="str">
        <f t="shared" si="79"/>
        <v>Week 21</v>
      </c>
    </row>
    <row r="1017" spans="1:18" x14ac:dyDescent="0.2">
      <c r="A1017">
        <v>244331</v>
      </c>
      <c r="B1017" s="2">
        <v>45435</v>
      </c>
      <c r="C1017" t="s">
        <v>65</v>
      </c>
      <c r="D1017" t="s">
        <v>66</v>
      </c>
      <c r="E1017" t="s">
        <v>24</v>
      </c>
      <c r="F1017" t="s">
        <v>10</v>
      </c>
      <c r="G1017" t="s">
        <v>26</v>
      </c>
      <c r="H1017" t="s">
        <v>67</v>
      </c>
      <c r="I1017" t="s">
        <v>1307</v>
      </c>
      <c r="J1017" t="s">
        <v>110</v>
      </c>
      <c r="K1017" t="s">
        <v>111</v>
      </c>
      <c r="L1017" t="s">
        <v>77</v>
      </c>
      <c r="N1017">
        <f t="shared" si="75"/>
        <v>21</v>
      </c>
      <c r="O1017">
        <f t="shared" si="76"/>
        <v>5</v>
      </c>
      <c r="P1017" t="str">
        <f t="shared" si="77"/>
        <v>Provided Guidance</v>
      </c>
      <c r="Q1017" t="str">
        <f t="shared" si="78"/>
        <v>May</v>
      </c>
      <c r="R1017" t="str">
        <f t="shared" si="79"/>
        <v>Week 21</v>
      </c>
    </row>
    <row r="1018" spans="1:18" x14ac:dyDescent="0.2">
      <c r="A1018">
        <v>244332</v>
      </c>
      <c r="B1018" s="2">
        <v>45435</v>
      </c>
      <c r="C1018" t="s">
        <v>65</v>
      </c>
      <c r="D1018" t="s">
        <v>66</v>
      </c>
      <c r="E1018" t="s">
        <v>24</v>
      </c>
      <c r="F1018" t="s">
        <v>10</v>
      </c>
      <c r="G1018" t="s">
        <v>26</v>
      </c>
      <c r="H1018" t="s">
        <v>67</v>
      </c>
      <c r="I1018" t="s">
        <v>1308</v>
      </c>
      <c r="J1018" t="s">
        <v>110</v>
      </c>
      <c r="K1018" t="s">
        <v>111</v>
      </c>
      <c r="L1018" t="s">
        <v>70</v>
      </c>
      <c r="N1018">
        <f t="shared" si="75"/>
        <v>21</v>
      </c>
      <c r="O1018">
        <f t="shared" si="76"/>
        <v>5</v>
      </c>
      <c r="P1018" t="str">
        <f t="shared" si="77"/>
        <v>Observed Better</v>
      </c>
      <c r="Q1018" t="str">
        <f t="shared" si="78"/>
        <v>May</v>
      </c>
      <c r="R1018" t="str">
        <f t="shared" si="79"/>
        <v>Week 21</v>
      </c>
    </row>
    <row r="1019" spans="1:18" x14ac:dyDescent="0.2">
      <c r="A1019">
        <v>244333</v>
      </c>
      <c r="B1019" s="2">
        <v>45435</v>
      </c>
      <c r="C1019" t="s">
        <v>65</v>
      </c>
      <c r="D1019" t="s">
        <v>66</v>
      </c>
      <c r="E1019" t="s">
        <v>24</v>
      </c>
      <c r="F1019" t="s">
        <v>10</v>
      </c>
      <c r="G1019" t="s">
        <v>26</v>
      </c>
      <c r="H1019" t="s">
        <v>67</v>
      </c>
      <c r="I1019" t="s">
        <v>1309</v>
      </c>
      <c r="J1019" t="s">
        <v>110</v>
      </c>
      <c r="K1019" t="s">
        <v>111</v>
      </c>
      <c r="L1019" t="s">
        <v>70</v>
      </c>
      <c r="N1019">
        <f t="shared" si="75"/>
        <v>21</v>
      </c>
      <c r="O1019">
        <f t="shared" si="76"/>
        <v>5</v>
      </c>
      <c r="P1019" t="str">
        <f t="shared" si="77"/>
        <v>Observed Better</v>
      </c>
      <c r="Q1019" t="str">
        <f t="shared" si="78"/>
        <v>May</v>
      </c>
      <c r="R1019" t="str">
        <f t="shared" si="79"/>
        <v>Week 21</v>
      </c>
    </row>
    <row r="1020" spans="1:18" x14ac:dyDescent="0.2">
      <c r="A1020">
        <v>244334</v>
      </c>
      <c r="B1020" s="2">
        <v>45435</v>
      </c>
      <c r="C1020" t="s">
        <v>65</v>
      </c>
      <c r="D1020" t="s">
        <v>66</v>
      </c>
      <c r="E1020" t="s">
        <v>24</v>
      </c>
      <c r="F1020" t="s">
        <v>10</v>
      </c>
      <c r="G1020" t="s">
        <v>26</v>
      </c>
      <c r="H1020" t="s">
        <v>67</v>
      </c>
      <c r="I1020" t="s">
        <v>1310</v>
      </c>
      <c r="J1020" t="s">
        <v>110</v>
      </c>
      <c r="K1020" t="s">
        <v>111</v>
      </c>
      <c r="L1020" t="s">
        <v>70</v>
      </c>
      <c r="N1020">
        <f t="shared" si="75"/>
        <v>21</v>
      </c>
      <c r="O1020">
        <f t="shared" si="76"/>
        <v>5</v>
      </c>
      <c r="P1020" t="str">
        <f t="shared" si="77"/>
        <v>Observed Better</v>
      </c>
      <c r="Q1020" t="str">
        <f t="shared" si="78"/>
        <v>May</v>
      </c>
      <c r="R1020" t="str">
        <f t="shared" si="79"/>
        <v>Week 21</v>
      </c>
    </row>
    <row r="1021" spans="1:18" x14ac:dyDescent="0.2">
      <c r="A1021">
        <v>244335</v>
      </c>
      <c r="B1021" s="2">
        <v>45435</v>
      </c>
      <c r="C1021" t="s">
        <v>65</v>
      </c>
      <c r="D1021" t="s">
        <v>66</v>
      </c>
      <c r="E1021" t="s">
        <v>24</v>
      </c>
      <c r="F1021" t="s">
        <v>10</v>
      </c>
      <c r="G1021" t="s">
        <v>26</v>
      </c>
      <c r="H1021" t="s">
        <v>67</v>
      </c>
      <c r="I1021" t="s">
        <v>1311</v>
      </c>
      <c r="J1021" t="s">
        <v>110</v>
      </c>
      <c r="K1021" t="s">
        <v>111</v>
      </c>
      <c r="L1021" t="s">
        <v>77</v>
      </c>
      <c r="N1021">
        <f t="shared" si="75"/>
        <v>21</v>
      </c>
      <c r="O1021">
        <f t="shared" si="76"/>
        <v>5</v>
      </c>
      <c r="P1021" t="str">
        <f t="shared" si="77"/>
        <v>Provided Guidance</v>
      </c>
      <c r="Q1021" t="str">
        <f t="shared" si="78"/>
        <v>May</v>
      </c>
      <c r="R1021" t="str">
        <f t="shared" si="79"/>
        <v>Week 21</v>
      </c>
    </row>
    <row r="1022" spans="1:18" x14ac:dyDescent="0.2">
      <c r="A1022">
        <v>244336</v>
      </c>
      <c r="B1022" s="2">
        <v>45435</v>
      </c>
      <c r="C1022" t="s">
        <v>65</v>
      </c>
      <c r="D1022" t="s">
        <v>66</v>
      </c>
      <c r="E1022" t="s">
        <v>16</v>
      </c>
      <c r="F1022" t="s">
        <v>162</v>
      </c>
      <c r="H1022" t="s">
        <v>67</v>
      </c>
      <c r="I1022" t="s">
        <v>1312</v>
      </c>
      <c r="J1022" t="s">
        <v>34</v>
      </c>
      <c r="K1022" t="s">
        <v>295</v>
      </c>
      <c r="L1022" t="s">
        <v>77</v>
      </c>
      <c r="M1022" t="s">
        <v>357</v>
      </c>
      <c r="N1022">
        <f t="shared" si="75"/>
        <v>21</v>
      </c>
      <c r="O1022">
        <f t="shared" si="76"/>
        <v>5</v>
      </c>
      <c r="P1022" t="str">
        <f t="shared" si="77"/>
        <v>Provided Guidance</v>
      </c>
      <c r="Q1022" t="str">
        <f t="shared" si="78"/>
        <v>May</v>
      </c>
      <c r="R1022" t="str">
        <f t="shared" si="79"/>
        <v>Week 21</v>
      </c>
    </row>
    <row r="1023" spans="1:18" x14ac:dyDescent="0.2">
      <c r="A1023">
        <v>244337</v>
      </c>
      <c r="B1023" s="2">
        <v>45436</v>
      </c>
      <c r="C1023" t="s">
        <v>65</v>
      </c>
      <c r="D1023" t="s">
        <v>66</v>
      </c>
      <c r="E1023" t="s">
        <v>20</v>
      </c>
      <c r="F1023" t="s">
        <v>21</v>
      </c>
      <c r="G1023" t="s">
        <v>22</v>
      </c>
      <c r="H1023" t="s">
        <v>67</v>
      </c>
      <c r="I1023" t="s">
        <v>1313</v>
      </c>
      <c r="J1023" t="s">
        <v>1228</v>
      </c>
      <c r="K1023" t="s">
        <v>1229</v>
      </c>
      <c r="L1023" t="s">
        <v>70</v>
      </c>
      <c r="M1023" t="s">
        <v>1314</v>
      </c>
      <c r="N1023">
        <f t="shared" si="75"/>
        <v>21</v>
      </c>
      <c r="O1023">
        <f t="shared" si="76"/>
        <v>5</v>
      </c>
      <c r="P1023" t="str">
        <f t="shared" si="77"/>
        <v>Observed Better</v>
      </c>
      <c r="Q1023" t="str">
        <f t="shared" si="78"/>
        <v>May</v>
      </c>
      <c r="R1023" t="str">
        <f t="shared" si="79"/>
        <v>Week 21</v>
      </c>
    </row>
    <row r="1024" spans="1:18" ht="90" customHeight="1" x14ac:dyDescent="0.2">
      <c r="A1024">
        <v>244338</v>
      </c>
      <c r="B1024" s="2">
        <v>45436</v>
      </c>
      <c r="C1024" t="s">
        <v>65</v>
      </c>
      <c r="D1024" t="s">
        <v>66</v>
      </c>
      <c r="E1024" t="s">
        <v>8</v>
      </c>
      <c r="F1024" t="s">
        <v>9</v>
      </c>
      <c r="G1024" t="s">
        <v>10</v>
      </c>
      <c r="H1024" t="s">
        <v>67</v>
      </c>
      <c r="I1024" t="s">
        <v>1315</v>
      </c>
      <c r="J1024" t="s">
        <v>1228</v>
      </c>
      <c r="K1024" t="s">
        <v>1229</v>
      </c>
      <c r="L1024" t="s">
        <v>77</v>
      </c>
      <c r="M1024" s="8" t="s">
        <v>1316</v>
      </c>
      <c r="N1024">
        <f t="shared" si="75"/>
        <v>21</v>
      </c>
      <c r="O1024">
        <f t="shared" si="76"/>
        <v>5</v>
      </c>
      <c r="P1024" t="str">
        <f t="shared" si="77"/>
        <v>Provided Guidance</v>
      </c>
      <c r="Q1024" t="str">
        <f t="shared" si="78"/>
        <v>May</v>
      </c>
      <c r="R1024" t="str">
        <f t="shared" si="79"/>
        <v>Week 21</v>
      </c>
    </row>
    <row r="1025" spans="1:18" ht="90" customHeight="1" x14ac:dyDescent="0.2">
      <c r="A1025">
        <v>244339</v>
      </c>
      <c r="B1025" s="2">
        <v>45436</v>
      </c>
      <c r="C1025" t="s">
        <v>65</v>
      </c>
      <c r="D1025" t="s">
        <v>66</v>
      </c>
      <c r="E1025" t="s">
        <v>8</v>
      </c>
      <c r="F1025" t="s">
        <v>9</v>
      </c>
      <c r="G1025" t="s">
        <v>10</v>
      </c>
      <c r="H1025" t="s">
        <v>67</v>
      </c>
      <c r="I1025" t="s">
        <v>1315</v>
      </c>
      <c r="J1025" t="s">
        <v>1228</v>
      </c>
      <c r="K1025" t="s">
        <v>1229</v>
      </c>
      <c r="L1025" t="s">
        <v>77</v>
      </c>
      <c r="M1025" s="8" t="s">
        <v>1316</v>
      </c>
      <c r="N1025">
        <f t="shared" si="75"/>
        <v>21</v>
      </c>
      <c r="O1025">
        <f t="shared" si="76"/>
        <v>5</v>
      </c>
      <c r="P1025" t="str">
        <f t="shared" si="77"/>
        <v>Provided Guidance</v>
      </c>
      <c r="Q1025" t="str">
        <f t="shared" si="78"/>
        <v>May</v>
      </c>
      <c r="R1025" t="str">
        <f t="shared" si="79"/>
        <v>Week 21</v>
      </c>
    </row>
    <row r="1026" spans="1:18" x14ac:dyDescent="0.2">
      <c r="A1026">
        <v>244340</v>
      </c>
      <c r="B1026" s="2">
        <v>45436</v>
      </c>
      <c r="C1026" t="s">
        <v>65</v>
      </c>
      <c r="D1026" t="s">
        <v>66</v>
      </c>
      <c r="E1026" t="s">
        <v>20</v>
      </c>
      <c r="F1026" t="s">
        <v>21</v>
      </c>
      <c r="G1026" t="s">
        <v>22</v>
      </c>
      <c r="H1026" t="s">
        <v>67</v>
      </c>
      <c r="I1026" t="s">
        <v>1317</v>
      </c>
      <c r="J1026" t="s">
        <v>1228</v>
      </c>
      <c r="K1026" t="s">
        <v>1229</v>
      </c>
      <c r="L1026" t="s">
        <v>77</v>
      </c>
      <c r="M1026" t="s">
        <v>1318</v>
      </c>
      <c r="N1026">
        <f t="shared" ref="N1026:N1033" si="80">IF(ISBLANK(B1026)," ",WEEKNUM(B1026))</f>
        <v>21</v>
      </c>
      <c r="O1026">
        <f t="shared" ref="O1026:O1033" si="81">IF(ISBLANK(B1026)," ",MONTH(B1026))</f>
        <v>5</v>
      </c>
      <c r="P1026" t="str">
        <f t="shared" ref="P1026:P1033" si="82">IF(ISNUMBER(SEARCH("provided",L1026)),"Provided Guidance","Observed Better")</f>
        <v>Provided Guidance</v>
      </c>
      <c r="Q1026" t="str">
        <f t="shared" ref="Q1026:Q1033" si="83">IF(O1026=" "," ",TEXT(O1026*29,"mmmm"))</f>
        <v>May</v>
      </c>
      <c r="R1026" t="str">
        <f t="shared" ref="R1026:R1033" si="84">IF(N1026=" "," ",_xlfn.CONCAT("Week ",+TEXT(N1026,"0")))</f>
        <v>Week 21</v>
      </c>
    </row>
    <row r="1027" spans="1:18" x14ac:dyDescent="0.2">
      <c r="A1027">
        <v>244341</v>
      </c>
      <c r="B1027" s="2">
        <v>45436</v>
      </c>
      <c r="C1027" t="s">
        <v>65</v>
      </c>
      <c r="D1027" t="s">
        <v>66</v>
      </c>
      <c r="E1027" t="s">
        <v>20</v>
      </c>
      <c r="F1027" t="s">
        <v>21</v>
      </c>
      <c r="G1027" t="s">
        <v>22</v>
      </c>
      <c r="H1027" t="s">
        <v>67</v>
      </c>
      <c r="I1027" t="s">
        <v>1317</v>
      </c>
      <c r="J1027" t="s">
        <v>1228</v>
      </c>
      <c r="K1027" t="s">
        <v>1229</v>
      </c>
      <c r="L1027" t="s">
        <v>77</v>
      </c>
      <c r="M1027" t="s">
        <v>1318</v>
      </c>
      <c r="N1027">
        <f t="shared" si="80"/>
        <v>21</v>
      </c>
      <c r="O1027">
        <f t="shared" si="81"/>
        <v>5</v>
      </c>
      <c r="P1027" t="str">
        <f t="shared" si="82"/>
        <v>Provided Guidance</v>
      </c>
      <c r="Q1027" t="str">
        <f t="shared" si="83"/>
        <v>May</v>
      </c>
      <c r="R1027" t="str">
        <f t="shared" si="84"/>
        <v>Week 21</v>
      </c>
    </row>
    <row r="1028" spans="1:18" x14ac:dyDescent="0.2">
      <c r="A1028">
        <v>244342</v>
      </c>
      <c r="B1028" s="2">
        <v>45436</v>
      </c>
      <c r="C1028" t="s">
        <v>65</v>
      </c>
      <c r="D1028" t="s">
        <v>66</v>
      </c>
      <c r="E1028" t="s">
        <v>8</v>
      </c>
      <c r="F1028" t="s">
        <v>9</v>
      </c>
      <c r="G1028" t="s">
        <v>528</v>
      </c>
      <c r="H1028" t="s">
        <v>67</v>
      </c>
      <c r="I1028" t="s">
        <v>1319</v>
      </c>
      <c r="J1028" t="s">
        <v>37</v>
      </c>
      <c r="K1028" t="s">
        <v>69</v>
      </c>
      <c r="L1028" t="s">
        <v>70</v>
      </c>
      <c r="N1028">
        <f t="shared" si="80"/>
        <v>21</v>
      </c>
      <c r="O1028">
        <f t="shared" si="81"/>
        <v>5</v>
      </c>
      <c r="P1028" t="str">
        <f t="shared" si="82"/>
        <v>Observed Better</v>
      </c>
      <c r="Q1028" t="str">
        <f t="shared" si="83"/>
        <v>May</v>
      </c>
      <c r="R1028" t="str">
        <f t="shared" si="84"/>
        <v>Week 21</v>
      </c>
    </row>
    <row r="1029" spans="1:18" x14ac:dyDescent="0.2">
      <c r="A1029">
        <v>244343</v>
      </c>
      <c r="B1029" s="2">
        <v>45436</v>
      </c>
      <c r="C1029" t="s">
        <v>65</v>
      </c>
      <c r="D1029" t="s">
        <v>66</v>
      </c>
      <c r="E1029" t="s">
        <v>8</v>
      </c>
      <c r="F1029" t="s">
        <v>9</v>
      </c>
      <c r="G1029" t="s">
        <v>528</v>
      </c>
      <c r="H1029" t="s">
        <v>67</v>
      </c>
      <c r="I1029" t="s">
        <v>1320</v>
      </c>
      <c r="J1029" t="s">
        <v>37</v>
      </c>
      <c r="K1029" t="s">
        <v>69</v>
      </c>
      <c r="L1029" t="s">
        <v>70</v>
      </c>
      <c r="N1029">
        <f t="shared" si="80"/>
        <v>21</v>
      </c>
      <c r="O1029">
        <f t="shared" si="81"/>
        <v>5</v>
      </c>
      <c r="P1029" t="str">
        <f t="shared" si="82"/>
        <v>Observed Better</v>
      </c>
      <c r="Q1029" t="str">
        <f t="shared" si="83"/>
        <v>May</v>
      </c>
      <c r="R1029" t="str">
        <f t="shared" si="84"/>
        <v>Week 21</v>
      </c>
    </row>
    <row r="1030" spans="1:18" x14ac:dyDescent="0.2">
      <c r="A1030">
        <v>244344</v>
      </c>
      <c r="B1030" s="2">
        <v>45436</v>
      </c>
      <c r="C1030" t="s">
        <v>65</v>
      </c>
      <c r="D1030" t="s">
        <v>66</v>
      </c>
      <c r="E1030" t="s">
        <v>16</v>
      </c>
      <c r="F1030" t="s">
        <v>94</v>
      </c>
      <c r="H1030" t="s">
        <v>67</v>
      </c>
      <c r="I1030" t="s">
        <v>1321</v>
      </c>
      <c r="J1030" t="s">
        <v>37</v>
      </c>
      <c r="K1030" t="s">
        <v>69</v>
      </c>
      <c r="L1030" t="s">
        <v>70</v>
      </c>
      <c r="N1030">
        <f t="shared" si="80"/>
        <v>21</v>
      </c>
      <c r="O1030">
        <f t="shared" si="81"/>
        <v>5</v>
      </c>
      <c r="P1030" t="str">
        <f t="shared" si="82"/>
        <v>Observed Better</v>
      </c>
      <c r="Q1030" t="str">
        <f t="shared" si="83"/>
        <v>May</v>
      </c>
      <c r="R1030" t="str">
        <f t="shared" si="84"/>
        <v>Week 21</v>
      </c>
    </row>
    <row r="1031" spans="1:18" x14ac:dyDescent="0.2">
      <c r="A1031">
        <v>244345</v>
      </c>
      <c r="B1031" s="2">
        <v>45438</v>
      </c>
      <c r="C1031" t="s">
        <v>65</v>
      </c>
      <c r="D1031" t="s">
        <v>66</v>
      </c>
      <c r="E1031" t="s">
        <v>20</v>
      </c>
      <c r="F1031" t="s">
        <v>21</v>
      </c>
      <c r="G1031" t="s">
        <v>22</v>
      </c>
      <c r="H1031" t="s">
        <v>67</v>
      </c>
      <c r="I1031" t="s">
        <v>1322</v>
      </c>
      <c r="J1031" t="s">
        <v>222</v>
      </c>
      <c r="K1031" t="s">
        <v>223</v>
      </c>
      <c r="L1031" t="s">
        <v>70</v>
      </c>
      <c r="M1031" t="s">
        <v>1323</v>
      </c>
      <c r="N1031">
        <f t="shared" si="80"/>
        <v>22</v>
      </c>
      <c r="O1031">
        <f t="shared" si="81"/>
        <v>5</v>
      </c>
      <c r="P1031" t="str">
        <f t="shared" si="82"/>
        <v>Observed Better</v>
      </c>
      <c r="Q1031" t="str">
        <f t="shared" si="83"/>
        <v>May</v>
      </c>
      <c r="R1031" t="str">
        <f t="shared" si="84"/>
        <v>Week 22</v>
      </c>
    </row>
    <row r="1032" spans="1:18" x14ac:dyDescent="0.2">
      <c r="A1032">
        <v>244346</v>
      </c>
      <c r="B1032" s="2">
        <v>45438</v>
      </c>
      <c r="C1032" t="s">
        <v>65</v>
      </c>
      <c r="D1032" t="s">
        <v>66</v>
      </c>
      <c r="E1032" t="s">
        <v>20</v>
      </c>
      <c r="F1032" t="s">
        <v>235</v>
      </c>
      <c r="H1032" t="s">
        <v>67</v>
      </c>
      <c r="I1032" t="s">
        <v>1324</v>
      </c>
      <c r="J1032" t="s">
        <v>222</v>
      </c>
      <c r="K1032" t="s">
        <v>223</v>
      </c>
      <c r="L1032" t="s">
        <v>70</v>
      </c>
      <c r="M1032" t="s">
        <v>1325</v>
      </c>
      <c r="N1032">
        <f t="shared" si="80"/>
        <v>22</v>
      </c>
      <c r="O1032">
        <f t="shared" si="81"/>
        <v>5</v>
      </c>
      <c r="P1032" t="str">
        <f t="shared" si="82"/>
        <v>Observed Better</v>
      </c>
      <c r="Q1032" t="str">
        <f t="shared" si="83"/>
        <v>May</v>
      </c>
      <c r="R1032" t="str">
        <f t="shared" si="84"/>
        <v>Week 22</v>
      </c>
    </row>
    <row r="1033" spans="1:18" x14ac:dyDescent="0.2">
      <c r="A1033">
        <v>244347</v>
      </c>
      <c r="B1033" s="2">
        <v>45439</v>
      </c>
      <c r="C1033" t="s">
        <v>65</v>
      </c>
      <c r="D1033" t="s">
        <v>66</v>
      </c>
      <c r="E1033" t="s">
        <v>8</v>
      </c>
      <c r="F1033" t="s">
        <v>9</v>
      </c>
      <c r="G1033" t="s">
        <v>203</v>
      </c>
      <c r="H1033" t="s">
        <v>67</v>
      </c>
      <c r="I1033" t="s">
        <v>1326</v>
      </c>
      <c r="J1033" t="s">
        <v>222</v>
      </c>
      <c r="K1033" t="s">
        <v>223</v>
      </c>
      <c r="L1033" t="s">
        <v>77</v>
      </c>
      <c r="M1033" t="s">
        <v>1327</v>
      </c>
      <c r="N1033">
        <f t="shared" si="80"/>
        <v>22</v>
      </c>
      <c r="O1033">
        <f t="shared" si="81"/>
        <v>5</v>
      </c>
      <c r="P1033" t="str">
        <f t="shared" si="82"/>
        <v>Provided Guidance</v>
      </c>
      <c r="Q1033" t="str">
        <f t="shared" si="83"/>
        <v>May</v>
      </c>
      <c r="R1033" t="str">
        <f t="shared" si="84"/>
        <v>Week 22</v>
      </c>
    </row>
    <row r="1034" spans="1:18" x14ac:dyDescent="0.2">
      <c r="A1034">
        <v>244466</v>
      </c>
      <c r="B1034" t="s">
        <v>1328</v>
      </c>
      <c r="C1034" t="s">
        <v>65</v>
      </c>
      <c r="D1034" t="s">
        <v>66</v>
      </c>
      <c r="E1034" t="s">
        <v>8</v>
      </c>
      <c r="F1034" t="s">
        <v>9</v>
      </c>
      <c r="G1034" t="s">
        <v>11</v>
      </c>
      <c r="H1034" t="s">
        <v>67</v>
      </c>
      <c r="I1034" t="s">
        <v>1329</v>
      </c>
      <c r="J1034" t="s">
        <v>251</v>
      </c>
      <c r="K1034" t="s">
        <v>252</v>
      </c>
      <c r="L1034" t="s">
        <v>77</v>
      </c>
      <c r="M1034"/>
    </row>
    <row r="1035" spans="1:18" x14ac:dyDescent="0.2">
      <c r="A1035">
        <v>244467</v>
      </c>
      <c r="B1035" t="s">
        <v>1328</v>
      </c>
      <c r="C1035" t="s">
        <v>65</v>
      </c>
      <c r="D1035" t="s">
        <v>66</v>
      </c>
      <c r="E1035" t="s">
        <v>8</v>
      </c>
      <c r="F1035" t="s">
        <v>9</v>
      </c>
      <c r="G1035" t="s">
        <v>203</v>
      </c>
      <c r="H1035" t="s">
        <v>67</v>
      </c>
      <c r="I1035" t="s">
        <v>1330</v>
      </c>
      <c r="J1035" t="s">
        <v>251</v>
      </c>
      <c r="K1035" t="s">
        <v>252</v>
      </c>
      <c r="L1035" t="s">
        <v>77</v>
      </c>
      <c r="M1035"/>
    </row>
    <row r="1036" spans="1:18" x14ac:dyDescent="0.2">
      <c r="A1036">
        <v>244468</v>
      </c>
      <c r="B1036" t="s">
        <v>1328</v>
      </c>
      <c r="C1036" t="s">
        <v>65</v>
      </c>
      <c r="D1036" t="s">
        <v>66</v>
      </c>
      <c r="E1036" t="s">
        <v>8</v>
      </c>
      <c r="F1036" t="s">
        <v>9</v>
      </c>
      <c r="G1036" t="s">
        <v>203</v>
      </c>
      <c r="H1036" t="s">
        <v>67</v>
      </c>
      <c r="I1036" t="s">
        <v>1331</v>
      </c>
      <c r="J1036" t="s">
        <v>251</v>
      </c>
      <c r="K1036" t="s">
        <v>252</v>
      </c>
      <c r="L1036" t="s">
        <v>77</v>
      </c>
      <c r="M1036"/>
    </row>
    <row r="1037" spans="1:18" x14ac:dyDescent="0.2">
      <c r="A1037">
        <v>244469</v>
      </c>
      <c r="B1037" t="s">
        <v>1328</v>
      </c>
      <c r="C1037" t="s">
        <v>65</v>
      </c>
      <c r="D1037" t="s">
        <v>66</v>
      </c>
      <c r="E1037" t="s">
        <v>8</v>
      </c>
      <c r="F1037" t="s">
        <v>9</v>
      </c>
      <c r="G1037" t="s">
        <v>11</v>
      </c>
      <c r="H1037" t="s">
        <v>67</v>
      </c>
      <c r="I1037" t="s">
        <v>1332</v>
      </c>
      <c r="J1037" t="s">
        <v>251</v>
      </c>
      <c r="K1037" t="s">
        <v>252</v>
      </c>
      <c r="L1037" t="s">
        <v>77</v>
      </c>
      <c r="M1037"/>
    </row>
    <row r="1038" spans="1:18" x14ac:dyDescent="0.2">
      <c r="A1038">
        <v>244470</v>
      </c>
      <c r="B1038" t="s">
        <v>1333</v>
      </c>
      <c r="C1038" t="s">
        <v>65</v>
      </c>
      <c r="D1038" t="s">
        <v>66</v>
      </c>
      <c r="E1038" t="s">
        <v>8</v>
      </c>
      <c r="F1038" t="s">
        <v>9</v>
      </c>
      <c r="G1038" t="s">
        <v>10</v>
      </c>
      <c r="H1038" t="s">
        <v>67</v>
      </c>
      <c r="I1038" t="s">
        <v>1334</v>
      </c>
      <c r="J1038" t="s">
        <v>37</v>
      </c>
      <c r="K1038" t="s">
        <v>69</v>
      </c>
      <c r="L1038" t="s">
        <v>70</v>
      </c>
      <c r="M1038"/>
    </row>
    <row r="1039" spans="1:18" x14ac:dyDescent="0.2">
      <c r="A1039">
        <v>244471</v>
      </c>
      <c r="B1039" t="s">
        <v>1333</v>
      </c>
      <c r="C1039" t="s">
        <v>65</v>
      </c>
      <c r="D1039" t="s">
        <v>66</v>
      </c>
      <c r="E1039" t="s">
        <v>8</v>
      </c>
      <c r="F1039" t="s">
        <v>9</v>
      </c>
      <c r="G1039" t="s">
        <v>10</v>
      </c>
      <c r="H1039" t="s">
        <v>67</v>
      </c>
      <c r="I1039" t="s">
        <v>1334</v>
      </c>
      <c r="J1039" t="s">
        <v>37</v>
      </c>
      <c r="K1039" t="s">
        <v>69</v>
      </c>
      <c r="L1039" t="s">
        <v>70</v>
      </c>
      <c r="M1039"/>
    </row>
    <row r="1040" spans="1:18" x14ac:dyDescent="0.2">
      <c r="A1040">
        <v>244472</v>
      </c>
      <c r="B1040" t="s">
        <v>1333</v>
      </c>
      <c r="C1040" t="s">
        <v>65</v>
      </c>
      <c r="D1040" t="s">
        <v>66</v>
      </c>
      <c r="E1040" t="s">
        <v>11</v>
      </c>
      <c r="F1040" t="s">
        <v>134</v>
      </c>
      <c r="G1040" t="s">
        <v>135</v>
      </c>
      <c r="H1040" t="s">
        <v>67</v>
      </c>
      <c r="I1040" t="s">
        <v>1335</v>
      </c>
      <c r="J1040" t="s">
        <v>37</v>
      </c>
      <c r="K1040" t="s">
        <v>69</v>
      </c>
      <c r="L1040" t="s">
        <v>70</v>
      </c>
      <c r="M1040"/>
    </row>
    <row r="1041" spans="1:13" x14ac:dyDescent="0.2">
      <c r="A1041">
        <v>244473</v>
      </c>
      <c r="B1041" t="s">
        <v>1333</v>
      </c>
      <c r="C1041" t="s">
        <v>65</v>
      </c>
      <c r="D1041" t="s">
        <v>66</v>
      </c>
      <c r="E1041" t="s">
        <v>20</v>
      </c>
      <c r="F1041" t="s">
        <v>21</v>
      </c>
      <c r="G1041" t="s">
        <v>22</v>
      </c>
      <c r="H1041" t="s">
        <v>67</v>
      </c>
      <c r="I1041" t="s">
        <v>1336</v>
      </c>
      <c r="J1041" t="s">
        <v>39</v>
      </c>
      <c r="K1041" t="s">
        <v>244</v>
      </c>
      <c r="L1041" t="s">
        <v>70</v>
      </c>
      <c r="M1041"/>
    </row>
    <row r="1042" spans="1:13" x14ac:dyDescent="0.2">
      <c r="A1042">
        <v>244474</v>
      </c>
      <c r="B1042" t="s">
        <v>1333</v>
      </c>
      <c r="C1042" t="s">
        <v>65</v>
      </c>
      <c r="D1042" t="s">
        <v>66</v>
      </c>
      <c r="E1042" t="s">
        <v>20</v>
      </c>
      <c r="F1042" t="s">
        <v>21</v>
      </c>
      <c r="G1042" t="s">
        <v>22</v>
      </c>
      <c r="H1042" t="s">
        <v>67</v>
      </c>
      <c r="I1042" t="s">
        <v>1337</v>
      </c>
      <c r="J1042" t="s">
        <v>40</v>
      </c>
      <c r="K1042" t="s">
        <v>76</v>
      </c>
      <c r="L1042" t="s">
        <v>77</v>
      </c>
      <c r="M1042" t="s">
        <v>1338</v>
      </c>
    </row>
    <row r="1043" spans="1:13" x14ac:dyDescent="0.2">
      <c r="A1043">
        <v>244475</v>
      </c>
      <c r="B1043" t="s">
        <v>1333</v>
      </c>
      <c r="C1043" t="s">
        <v>65</v>
      </c>
      <c r="D1043" t="s">
        <v>66</v>
      </c>
      <c r="E1043" t="s">
        <v>16</v>
      </c>
      <c r="F1043" t="s">
        <v>19</v>
      </c>
      <c r="H1043" t="s">
        <v>67</v>
      </c>
      <c r="I1043" t="s">
        <v>1339</v>
      </c>
      <c r="J1043" t="s">
        <v>37</v>
      </c>
      <c r="K1043" t="s">
        <v>69</v>
      </c>
      <c r="L1043" t="s">
        <v>70</v>
      </c>
      <c r="M1043"/>
    </row>
    <row r="1044" spans="1:13" x14ac:dyDescent="0.2">
      <c r="A1044">
        <v>244476</v>
      </c>
      <c r="B1044" t="s">
        <v>1333</v>
      </c>
      <c r="C1044" t="s">
        <v>65</v>
      </c>
      <c r="D1044" t="s">
        <v>66</v>
      </c>
      <c r="E1044" t="s">
        <v>20</v>
      </c>
      <c r="F1044" t="s">
        <v>21</v>
      </c>
      <c r="G1044" t="s">
        <v>22</v>
      </c>
      <c r="H1044" t="s">
        <v>67</v>
      </c>
      <c r="I1044" t="s">
        <v>1340</v>
      </c>
      <c r="J1044" t="s">
        <v>40</v>
      </c>
      <c r="K1044" t="s">
        <v>76</v>
      </c>
      <c r="L1044" t="s">
        <v>77</v>
      </c>
      <c r="M1044" t="s">
        <v>1341</v>
      </c>
    </row>
    <row r="1045" spans="1:13" x14ac:dyDescent="0.2">
      <c r="A1045">
        <v>244477</v>
      </c>
      <c r="B1045" t="s">
        <v>1333</v>
      </c>
      <c r="C1045" t="s">
        <v>65</v>
      </c>
      <c r="D1045" t="s">
        <v>66</v>
      </c>
      <c r="E1045" t="s">
        <v>20</v>
      </c>
      <c r="F1045" t="s">
        <v>21</v>
      </c>
      <c r="G1045" t="s">
        <v>22</v>
      </c>
      <c r="H1045" t="s">
        <v>67</v>
      </c>
      <c r="I1045" t="s">
        <v>1342</v>
      </c>
      <c r="J1045" t="s">
        <v>40</v>
      </c>
      <c r="K1045" t="s">
        <v>76</v>
      </c>
      <c r="L1045" t="s">
        <v>77</v>
      </c>
      <c r="M1045" t="s">
        <v>1343</v>
      </c>
    </row>
    <row r="1046" spans="1:13" x14ac:dyDescent="0.2">
      <c r="A1046">
        <v>244478</v>
      </c>
      <c r="B1046" t="s">
        <v>1333</v>
      </c>
      <c r="C1046" t="s">
        <v>65</v>
      </c>
      <c r="D1046" t="s">
        <v>66</v>
      </c>
      <c r="E1046" t="s">
        <v>20</v>
      </c>
      <c r="F1046" t="s">
        <v>21</v>
      </c>
      <c r="G1046" t="s">
        <v>22</v>
      </c>
      <c r="H1046" t="s">
        <v>67</v>
      </c>
      <c r="I1046" t="s">
        <v>1344</v>
      </c>
      <c r="J1046" t="s">
        <v>40</v>
      </c>
      <c r="K1046" t="s">
        <v>76</v>
      </c>
      <c r="L1046" t="s">
        <v>77</v>
      </c>
      <c r="M1046" t="s">
        <v>1345</v>
      </c>
    </row>
    <row r="1047" spans="1:13" x14ac:dyDescent="0.2">
      <c r="A1047">
        <v>244479</v>
      </c>
      <c r="B1047" t="s">
        <v>1333</v>
      </c>
      <c r="C1047" t="s">
        <v>65</v>
      </c>
      <c r="D1047" t="s">
        <v>66</v>
      </c>
      <c r="E1047" t="s">
        <v>20</v>
      </c>
      <c r="F1047" t="s">
        <v>21</v>
      </c>
      <c r="G1047" t="s">
        <v>22</v>
      </c>
      <c r="H1047" t="s">
        <v>67</v>
      </c>
      <c r="I1047" t="s">
        <v>1346</v>
      </c>
      <c r="J1047" t="s">
        <v>1228</v>
      </c>
      <c r="K1047" t="s">
        <v>1229</v>
      </c>
      <c r="L1047" t="s">
        <v>70</v>
      </c>
      <c r="M1047" t="s">
        <v>1347</v>
      </c>
    </row>
    <row r="1048" spans="1:13" x14ac:dyDescent="0.2">
      <c r="A1048">
        <v>244480</v>
      </c>
      <c r="B1048" t="s">
        <v>1333</v>
      </c>
      <c r="C1048" t="s">
        <v>65</v>
      </c>
      <c r="D1048" t="s">
        <v>66</v>
      </c>
      <c r="E1048" t="s">
        <v>16</v>
      </c>
      <c r="F1048" t="s">
        <v>94</v>
      </c>
      <c r="H1048" t="s">
        <v>67</v>
      </c>
      <c r="I1048" t="s">
        <v>1348</v>
      </c>
      <c r="J1048" t="s">
        <v>1228</v>
      </c>
      <c r="K1048" t="s">
        <v>1229</v>
      </c>
      <c r="L1048" t="s">
        <v>77</v>
      </c>
      <c r="M1048" t="s">
        <v>1349</v>
      </c>
    </row>
    <row r="1049" spans="1:13" x14ac:dyDescent="0.2">
      <c r="A1049">
        <v>244481</v>
      </c>
      <c r="B1049" t="s">
        <v>1333</v>
      </c>
      <c r="C1049" t="s">
        <v>65</v>
      </c>
      <c r="D1049" t="s">
        <v>66</v>
      </c>
      <c r="E1049" t="s">
        <v>16</v>
      </c>
      <c r="F1049" t="s">
        <v>94</v>
      </c>
      <c r="H1049" t="s">
        <v>67</v>
      </c>
      <c r="I1049" t="s">
        <v>1348</v>
      </c>
      <c r="J1049" t="s">
        <v>1228</v>
      </c>
      <c r="K1049" t="s">
        <v>1229</v>
      </c>
      <c r="L1049" t="s">
        <v>77</v>
      </c>
      <c r="M1049" t="s">
        <v>1349</v>
      </c>
    </row>
    <row r="1050" spans="1:13" x14ac:dyDescent="0.2">
      <c r="A1050">
        <v>244482</v>
      </c>
      <c r="B1050" t="s">
        <v>1333</v>
      </c>
      <c r="C1050" t="s">
        <v>65</v>
      </c>
      <c r="D1050" t="s">
        <v>66</v>
      </c>
      <c r="E1050" t="s">
        <v>8</v>
      </c>
      <c r="F1050" t="s">
        <v>9</v>
      </c>
      <c r="G1050" t="s">
        <v>203</v>
      </c>
      <c r="H1050" t="s">
        <v>67</v>
      </c>
      <c r="I1050" t="s">
        <v>1350</v>
      </c>
      <c r="J1050" t="s">
        <v>1228</v>
      </c>
      <c r="K1050" t="s">
        <v>1229</v>
      </c>
      <c r="L1050" t="s">
        <v>70</v>
      </c>
      <c r="M1050" t="s">
        <v>1351</v>
      </c>
    </row>
    <row r="1051" spans="1:13" x14ac:dyDescent="0.2">
      <c r="A1051">
        <v>244483</v>
      </c>
      <c r="B1051" t="s">
        <v>1333</v>
      </c>
      <c r="C1051" t="s">
        <v>65</v>
      </c>
      <c r="D1051" t="s">
        <v>66</v>
      </c>
      <c r="E1051" t="s">
        <v>8</v>
      </c>
      <c r="F1051" t="s">
        <v>9</v>
      </c>
      <c r="G1051" t="s">
        <v>203</v>
      </c>
      <c r="H1051" t="s">
        <v>67</v>
      </c>
      <c r="I1051" t="s">
        <v>1350</v>
      </c>
      <c r="J1051" t="s">
        <v>1228</v>
      </c>
      <c r="K1051" t="s">
        <v>1229</v>
      </c>
      <c r="L1051" t="s">
        <v>70</v>
      </c>
      <c r="M1051" t="s">
        <v>1351</v>
      </c>
    </row>
    <row r="1052" spans="1:13" x14ac:dyDescent="0.2">
      <c r="A1052">
        <v>244486</v>
      </c>
      <c r="B1052" t="s">
        <v>1333</v>
      </c>
      <c r="C1052" t="s">
        <v>65</v>
      </c>
      <c r="D1052" t="s">
        <v>66</v>
      </c>
      <c r="E1052" t="s">
        <v>8</v>
      </c>
      <c r="F1052" t="s">
        <v>9</v>
      </c>
      <c r="G1052" t="s">
        <v>203</v>
      </c>
      <c r="H1052" t="s">
        <v>67</v>
      </c>
      <c r="I1052" t="s">
        <v>1352</v>
      </c>
      <c r="J1052" t="s">
        <v>36</v>
      </c>
      <c r="K1052" t="s">
        <v>1279</v>
      </c>
      <c r="L1052" t="s">
        <v>77</v>
      </c>
      <c r="M1052"/>
    </row>
    <row r="1053" spans="1:13" x14ac:dyDescent="0.2">
      <c r="A1053">
        <v>244487</v>
      </c>
      <c r="B1053" t="s">
        <v>1333</v>
      </c>
      <c r="C1053" t="s">
        <v>65</v>
      </c>
      <c r="D1053" t="s">
        <v>66</v>
      </c>
      <c r="E1053" t="s">
        <v>8</v>
      </c>
      <c r="F1053" t="s">
        <v>9</v>
      </c>
      <c r="G1053" t="s">
        <v>528</v>
      </c>
      <c r="H1053" t="s">
        <v>67</v>
      </c>
      <c r="I1053" t="s">
        <v>1353</v>
      </c>
      <c r="J1053" t="s">
        <v>36</v>
      </c>
      <c r="K1053" t="s">
        <v>1279</v>
      </c>
      <c r="L1053" t="s">
        <v>77</v>
      </c>
      <c r="M1053"/>
    </row>
    <row r="1054" spans="1:13" x14ac:dyDescent="0.2">
      <c r="A1054">
        <v>244488</v>
      </c>
      <c r="B1054" t="s">
        <v>1333</v>
      </c>
      <c r="C1054" t="s">
        <v>65</v>
      </c>
      <c r="D1054" t="s">
        <v>66</v>
      </c>
      <c r="E1054" t="s">
        <v>8</v>
      </c>
      <c r="F1054" t="s">
        <v>9</v>
      </c>
      <c r="G1054" t="s">
        <v>10</v>
      </c>
      <c r="H1054" t="s">
        <v>67</v>
      </c>
      <c r="I1054" t="s">
        <v>1354</v>
      </c>
      <c r="J1054" t="s">
        <v>36</v>
      </c>
      <c r="K1054" t="s">
        <v>1279</v>
      </c>
      <c r="L1054" t="s">
        <v>77</v>
      </c>
      <c r="M1054"/>
    </row>
    <row r="1055" spans="1:13" x14ac:dyDescent="0.2">
      <c r="A1055">
        <v>244489</v>
      </c>
      <c r="B1055" t="s">
        <v>1333</v>
      </c>
      <c r="C1055" t="s">
        <v>65</v>
      </c>
      <c r="D1055" t="s">
        <v>66</v>
      </c>
      <c r="E1055" t="s">
        <v>20</v>
      </c>
      <c r="F1055" t="s">
        <v>21</v>
      </c>
      <c r="G1055" t="s">
        <v>22</v>
      </c>
      <c r="H1055" t="s">
        <v>67</v>
      </c>
      <c r="I1055" t="s">
        <v>1355</v>
      </c>
      <c r="J1055" t="s">
        <v>43</v>
      </c>
      <c r="K1055" t="s">
        <v>141</v>
      </c>
      <c r="L1055" t="s">
        <v>70</v>
      </c>
      <c r="M1055"/>
    </row>
    <row r="1056" spans="1:13" x14ac:dyDescent="0.2">
      <c r="A1056">
        <v>244491</v>
      </c>
      <c r="B1056" t="s">
        <v>1333</v>
      </c>
      <c r="C1056" t="s">
        <v>65</v>
      </c>
      <c r="D1056" t="s">
        <v>66</v>
      </c>
      <c r="E1056" t="s">
        <v>20</v>
      </c>
      <c r="F1056" t="s">
        <v>21</v>
      </c>
      <c r="G1056" t="s">
        <v>22</v>
      </c>
      <c r="H1056" t="s">
        <v>67</v>
      </c>
      <c r="I1056" t="s">
        <v>1356</v>
      </c>
      <c r="J1056" t="s">
        <v>43</v>
      </c>
      <c r="K1056" t="s">
        <v>141</v>
      </c>
      <c r="L1056" t="s">
        <v>70</v>
      </c>
      <c r="M1056"/>
    </row>
    <row r="1057" spans="1:13" x14ac:dyDescent="0.2">
      <c r="A1057">
        <v>244490</v>
      </c>
      <c r="B1057" t="s">
        <v>1333</v>
      </c>
      <c r="C1057" t="s">
        <v>65</v>
      </c>
      <c r="D1057" t="s">
        <v>66</v>
      </c>
      <c r="E1057" t="s">
        <v>11</v>
      </c>
      <c r="F1057" t="s">
        <v>12</v>
      </c>
      <c r="G1057" t="s">
        <v>13</v>
      </c>
      <c r="H1057" t="s">
        <v>67</v>
      </c>
      <c r="I1057" t="s">
        <v>1357</v>
      </c>
      <c r="J1057" t="s">
        <v>34</v>
      </c>
      <c r="K1057" t="s">
        <v>295</v>
      </c>
      <c r="L1057" t="s">
        <v>77</v>
      </c>
      <c r="M1057" t="s">
        <v>357</v>
      </c>
    </row>
    <row r="1058" spans="1:13" x14ac:dyDescent="0.2">
      <c r="A1058">
        <v>244492</v>
      </c>
      <c r="B1058" t="s">
        <v>1333</v>
      </c>
      <c r="C1058" t="s">
        <v>65</v>
      </c>
      <c r="D1058" t="s">
        <v>66</v>
      </c>
      <c r="E1058" t="s">
        <v>8</v>
      </c>
      <c r="F1058" t="s">
        <v>9</v>
      </c>
      <c r="G1058" t="s">
        <v>10</v>
      </c>
      <c r="H1058" t="s">
        <v>67</v>
      </c>
      <c r="I1058" t="s">
        <v>1358</v>
      </c>
      <c r="J1058" t="s">
        <v>34</v>
      </c>
      <c r="K1058" t="s">
        <v>295</v>
      </c>
      <c r="L1058" t="s">
        <v>77</v>
      </c>
      <c r="M1058" t="s">
        <v>357</v>
      </c>
    </row>
    <row r="1059" spans="1:13" x14ac:dyDescent="0.2">
      <c r="A1059">
        <v>244493</v>
      </c>
      <c r="B1059" t="s">
        <v>1333</v>
      </c>
      <c r="C1059" t="s">
        <v>65</v>
      </c>
      <c r="D1059" t="s">
        <v>66</v>
      </c>
      <c r="E1059" t="s">
        <v>24</v>
      </c>
      <c r="F1059" t="s">
        <v>25</v>
      </c>
      <c r="H1059" t="s">
        <v>67</v>
      </c>
      <c r="I1059" t="s">
        <v>1359</v>
      </c>
      <c r="J1059" t="s">
        <v>34</v>
      </c>
      <c r="K1059" t="s">
        <v>295</v>
      </c>
      <c r="L1059" t="s">
        <v>77</v>
      </c>
      <c r="M1059" t="s">
        <v>357</v>
      </c>
    </row>
    <row r="1060" spans="1:13" x14ac:dyDescent="0.2">
      <c r="A1060">
        <v>244558</v>
      </c>
      <c r="B1060" t="s">
        <v>1360</v>
      </c>
      <c r="C1060" t="s">
        <v>65</v>
      </c>
      <c r="D1060" t="s">
        <v>66</v>
      </c>
      <c r="E1060" t="s">
        <v>20</v>
      </c>
      <c r="F1060" t="s">
        <v>21</v>
      </c>
      <c r="G1060" t="s">
        <v>22</v>
      </c>
      <c r="H1060" t="s">
        <v>67</v>
      </c>
      <c r="I1060" t="s">
        <v>1361</v>
      </c>
      <c r="J1060" t="s">
        <v>43</v>
      </c>
      <c r="K1060" t="s">
        <v>141</v>
      </c>
      <c r="L1060" t="s">
        <v>70</v>
      </c>
      <c r="M1060"/>
    </row>
    <row r="1061" spans="1:13" x14ac:dyDescent="0.2">
      <c r="A1061">
        <v>244559</v>
      </c>
      <c r="B1061" t="s">
        <v>1360</v>
      </c>
      <c r="C1061" t="s">
        <v>65</v>
      </c>
      <c r="D1061" t="s">
        <v>66</v>
      </c>
      <c r="E1061" t="s">
        <v>20</v>
      </c>
      <c r="F1061" t="s">
        <v>21</v>
      </c>
      <c r="G1061" t="s">
        <v>22</v>
      </c>
      <c r="H1061" t="s">
        <v>67</v>
      </c>
      <c r="I1061" t="s">
        <v>1362</v>
      </c>
      <c r="J1061" t="s">
        <v>43</v>
      </c>
      <c r="K1061" t="s">
        <v>141</v>
      </c>
      <c r="L1061" t="s">
        <v>70</v>
      </c>
      <c r="M1061"/>
    </row>
  </sheetData>
  <autoFilter ref="A1:R1033" xr:uid="{00000000-0009-0000-0000-000005000000}"/>
  <conditionalFormatting sqref="A1:A1048576">
    <cfRule type="duplicateValues" dxfId="2" priority="2"/>
    <cfRule type="duplicateValues" dxfId="1" priority="3"/>
  </conditionalFormatting>
  <conditionalFormatting sqref="I1:I1048576">
    <cfRule type="duplicateValues" dxfId="0" priority="1"/>
  </conditionalFormatting>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Techniques</vt:lpstr>
      <vt:lpstr>By Week</vt:lpstr>
      <vt:lpstr>By Month</vt:lpstr>
      <vt:lpstr>FeedbackWeek</vt:lpstr>
      <vt:lpstr>RawData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Schissler</dc:creator>
  <cp:lastModifiedBy>Dan Schissler</cp:lastModifiedBy>
  <dcterms:created xsi:type="dcterms:W3CDTF">2022-05-19T17:55:57Z</dcterms:created>
  <dcterms:modified xsi:type="dcterms:W3CDTF">2024-07-25T22:17:29Z</dcterms:modified>
</cp:coreProperties>
</file>